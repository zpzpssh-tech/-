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사용법" sheetId="1" state="visible" r:id="rId1"/>
    <sheet name="영업리스트" sheetId="2" state="visible" r:id="rId2"/>
    <sheet name="요약" sheetId="3" state="visible" r:id="rId3"/>
    <sheet name="영업멘트" sheetId="4" state="visible" r:id="rId4"/>
  </sheets>
  <definedNames>
    <definedName name="_xlnm._FilterDatabase" localSheetId="1" hidden="1">'영업리스트'!$A$1:$T$131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b val="1"/>
      <color rgb="00FFFFFF"/>
      <sz val="10"/>
    </font>
    <font>
      <name val="Arial"/>
      <color rgb="000563C1"/>
      <sz val="10"/>
      <u val="single"/>
    </font>
    <font>
      <name val="Arial"/>
      <b val="1"/>
      <sz val="12"/>
    </font>
    <font>
      <name val="Arial"/>
      <b val="1"/>
    </font>
  </fonts>
  <fills count="7">
    <fill>
      <patternFill/>
    </fill>
    <fill>
      <patternFill patternType="gray125"/>
    </fill>
    <fill>
      <patternFill patternType="solid">
        <fgColor rgb="001F3864"/>
      </patternFill>
    </fill>
    <fill>
      <patternFill patternType="solid">
        <fgColor rgb="00FFF2CC"/>
      </patternFill>
    </fill>
    <fill>
      <patternFill patternType="solid">
        <fgColor rgb="00C6EFCE"/>
      </patternFill>
    </fill>
    <fill>
      <patternFill patternType="solid">
        <fgColor rgb="00FFEB9C"/>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3"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xf numFmtId="0" fontId="3" fillId="4" borderId="1" applyAlignment="1" pivotButton="0" quotePrefix="0" xfId="0">
      <alignment horizontal="center" vertical="top"/>
    </xf>
    <xf numFmtId="0" fontId="5" fillId="0" borderId="1" applyAlignment="1" pivotButton="0" quotePrefix="0" xfId="0">
      <alignment vertical="top" wrapText="1"/>
    </xf>
    <xf numFmtId="0" fontId="3" fillId="3" borderId="1" applyAlignment="1" pivotButton="0" quotePrefix="0" xfId="0">
      <alignment vertical="top" wrapText="1"/>
    </xf>
    <xf numFmtId="0" fontId="3" fillId="5" borderId="1" applyAlignment="1" pivotButton="0" quotePrefix="0" xfId="0">
      <alignment horizontal="center" vertical="top"/>
    </xf>
    <xf numFmtId="0" fontId="3" fillId="6" borderId="1" applyAlignment="1" pivotButton="0" quotePrefix="0" xfId="0">
      <alignment horizontal="center" vertical="top"/>
    </xf>
    <xf numFmtId="0" fontId="6" fillId="0" borderId="0" pivotButton="0" quotePrefix="0" xfId="0"/>
    <xf numFmtId="0" fontId="4" fillId="2" borderId="1" applyAlignment="1" pivotButton="0" quotePrefix="0" xfId="0">
      <alignment horizontal="center"/>
    </xf>
    <xf numFmtId="0" fontId="3" fillId="0" borderId="1" pivotButton="0" quotePrefix="0" xfId="0"/>
    <xf numFmtId="0" fontId="7" fillId="0" borderId="1" pivotButton="0" quotePrefix="0" xfId="0"/>
    <xf numFmtId="0" fontId="4" fillId="2" borderId="0" pivotButton="0" quotePrefix="0" xfId="0"/>
    <xf numFmtId="0" fontId="7"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Claude</author>
  </authors>
  <commentList>
    <comment ref="N1" authorId="0" shapeId="0">
      <text>
        <t>노란색 칸은 대표님이 직접 입력하는 칸입니다.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tobnc.co.kr/" TargetMode="External" Id="rId1" /><Relationship Type="http://schemas.openxmlformats.org/officeDocument/2006/relationships/hyperlink" Target="https://www.biteme.co.kr" TargetMode="External" Id="rId2" /><Relationship Type="http://schemas.openxmlformats.org/officeDocument/2006/relationships/hyperlink" Target="https://www.bizbite.me/" TargetMode="External" Id="rId3" /><Relationship Type="http://schemas.openxmlformats.org/officeDocument/2006/relationships/hyperlink" Target="https://boxmaster.co.kr" TargetMode="External" Id="rId4" /><Relationship Type="http://schemas.openxmlformats.org/officeDocument/2006/relationships/hyperlink" Target="https://boxmaster.co.kr/whatbm/location" TargetMode="External" Id="rId5" /><Relationship Type="http://schemas.openxmlformats.org/officeDocument/2006/relationships/hyperlink" Target="https://www.boxcompany.co.kr" TargetMode="External" Id="rId6" /><Relationship Type="http://schemas.openxmlformats.org/officeDocument/2006/relationships/hyperlink" Target="https://boxcompany.co.kr/contact" TargetMode="External" Id="rId7" /><Relationship Type="http://schemas.openxmlformats.org/officeDocument/2006/relationships/hyperlink" Target="https://www.saengong.com" TargetMode="External" Id="rId8" /><Relationship Type="http://schemas.openxmlformats.org/officeDocument/2006/relationships/hyperlink" Target="https://m.gmarket.co.kr/n/minishop/livingcrafts/sellerinfo" TargetMode="External" Id="rId9" /><Relationship Type="http://schemas.openxmlformats.org/officeDocument/2006/relationships/hyperlink" Target="https://packative.com" TargetMode="External" Id="rId10" /><Relationship Type="http://schemas.openxmlformats.org/officeDocument/2006/relationships/hyperlink" Target="https://help.packative.com/" TargetMode="External" Id="rId11" /><Relationship Type="http://schemas.openxmlformats.org/officeDocument/2006/relationships/hyperlink" Target="https://pethroom.com" TargetMode="External" Id="rId12" /><Relationship Type="http://schemas.openxmlformats.org/officeDocument/2006/relationships/hyperlink" Target="https://pethroom.com/" TargetMode="External" Id="rId13" /><Relationship Type="http://schemas.openxmlformats.org/officeDocument/2006/relationships/hyperlink" Target="https://hamit.kr" TargetMode="External" Id="rId14" /><Relationship Type="http://schemas.openxmlformats.org/officeDocument/2006/relationships/hyperlink" Target="https://openads.co.kr/content/contentDetail?contsId=17861" TargetMode="External" Id="rId15" /><Relationship Type="http://schemas.openxmlformats.org/officeDocument/2006/relationships/hyperlink" Target="https://pr.onoffmarket.com/" TargetMode="External" Id="rId16" /><Relationship Type="http://schemas.openxmlformats.org/officeDocument/2006/relationships/hyperlink" Target="https://bizno.net/article/1058805007" TargetMode="External" Id="rId17" /><Relationship Type="http://schemas.openxmlformats.org/officeDocument/2006/relationships/hyperlink" Target="https://87dept.com/" TargetMode="External" Id="rId18" /><Relationship Type="http://schemas.openxmlformats.org/officeDocument/2006/relationships/hyperlink" Target="https://87dept.com/" TargetMode="External" Id="rId19" /><Relationship Type="http://schemas.openxmlformats.org/officeDocument/2006/relationships/hyperlink" Target="https://www.seouladcom.co.kr" TargetMode="External" Id="rId20" /><Relationship Type="http://schemas.openxmlformats.org/officeDocument/2006/relationships/hyperlink" Target="https://www.seouladcom.co.kr/ ; https://www.114.co.kr/search/detail?comp_id=1778158&amp;comp_tp_cd=INT&amp;upjong_cd=839920" TargetMode="External" Id="rId21" /><Relationship Type="http://schemas.openxmlformats.org/officeDocument/2006/relationships/hyperlink" Target="https://www.jcccom.co.kr" TargetMode="External" Id="rId22" /><Relationship Type="http://schemas.openxmlformats.org/officeDocument/2006/relationships/hyperlink" Target="https://www.jcccom.co.kr/ ; https://jcccom.co.kr/sub.php?pageState=product_btl" TargetMode="External" Id="rId23" /><Relationship Type="http://schemas.openxmlformats.org/officeDocument/2006/relationships/hyperlink" Target="http://www.creamcomm.co.kr" TargetMode="External" Id="rId24" /><Relationship Type="http://schemas.openxmlformats.org/officeDocument/2006/relationships/hyperlink" Target="https://www.creamsoda.co.kr/story/03/v/39 ; https://www.114.co.kr/search/detail?comp_id=973606&amp;comp_tp_cd=INT&amp;upjong_cd=711000" TargetMode="External" Id="rId25" /><Relationship Type="http://schemas.openxmlformats.org/officeDocument/2006/relationships/hyperlink" Target="https://gahyun.kr" TargetMode="External" Id="rId26" /><Relationship Type="http://schemas.openxmlformats.org/officeDocument/2006/relationships/hyperlink" Target="https://gahyun.kr/about/overview.asp ; https://www.saramin.co.kr/zf_user/company-info/view/csn/VVptZktVaXp3UStyOHAzeFNWUU1OQT09/company_nm/%EA%B0%80%ED%98%84%EA%B8%B0%ED%9A%8D" TargetMode="External" Id="rId27" /><Relationship Type="http://schemas.openxmlformats.org/officeDocument/2006/relationships/hyperlink" Target="https://bananafactory.kr" TargetMode="External" Id="rId28" /><Relationship Type="http://schemas.openxmlformats.org/officeDocument/2006/relationships/hyperlink" Target="https://bananafactory.kr/product/%ED%8C%90%EC%B4%89%EB%AC%BC-%ED%99%8D%EB%B3%B4-%EC%9D%B8%EC%87%84-%EB%A7%88%EC%9D%B4%EB%B3%B4%ED%8B%80500ml-%EC%A3%BC%EB%AC%B8%EC%A0%9C%EC%9E%91-100%EA%B0%9C/50379/" TargetMode="External" Id="rId29" /><Relationship Type="http://schemas.openxmlformats.org/officeDocument/2006/relationships/hyperlink" Target="https://www.boxmakers.co.kr" TargetMode="External" Id="rId30" /><Relationship Type="http://schemas.openxmlformats.org/officeDocument/2006/relationships/hyperlink" Target="https://boxmakers.co.kr/" TargetMode="External" Id="rId31" /><Relationship Type="http://schemas.openxmlformats.org/officeDocument/2006/relationships/hyperlink" Target="https://sincerely.one" TargetMode="External" Id="rId32" /><Relationship Type="http://schemas.openxmlformats.org/officeDocument/2006/relationships/hyperlink" Target="https://sincerely.one/about" TargetMode="External" Id="rId33" /><Relationship Type="http://schemas.openxmlformats.org/officeDocument/2006/relationships/hyperlink" Target="https://able-bamboo.co.kr" TargetMode="External" Id="rId34" /><Relationship Type="http://schemas.openxmlformats.org/officeDocument/2006/relationships/hyperlink" Target="https://able-bamboo.co.kr/" TargetMode="External" Id="rId35" /><Relationship Type="http://schemas.openxmlformats.org/officeDocument/2006/relationships/hyperlink" Target="https://muplanbox.com" TargetMode="External" Id="rId36" /><Relationship Type="http://schemas.openxmlformats.org/officeDocument/2006/relationships/hyperlink" Target="https://muplanbox.com/shopinfo/company.html" TargetMode="External" Id="rId37" /><Relationship Type="http://schemas.openxmlformats.org/officeDocument/2006/relationships/hyperlink" Target="https://www.yeonpack.com" TargetMode="External" Id="rId38" /><Relationship Type="http://schemas.openxmlformats.org/officeDocument/2006/relationships/hyperlink" Target="https://www.yeonpack.com/" TargetMode="External" Id="rId39" /><Relationship Type="http://schemas.openxmlformats.org/officeDocument/2006/relationships/hyperlink" Target="https://yogamall.co.kr" TargetMode="External" Id="rId40" /><Relationship Type="http://schemas.openxmlformats.org/officeDocument/2006/relationships/hyperlink" Target="https://yogamall.co.kr" TargetMode="External" Id="rId41" /><Relationship Type="http://schemas.openxmlformats.org/officeDocument/2006/relationships/hyperlink" Target="https://aidershop.com" TargetMode="External" Id="rId42" /><Relationship Type="http://schemas.openxmlformats.org/officeDocument/2006/relationships/hyperlink" Target="https://aidershop.com" TargetMode="External" Id="rId43" /><Relationship Type="http://schemas.openxmlformats.org/officeDocument/2006/relationships/hyperlink" Target="https://atflee.com" TargetMode="External" Id="rId44" /><Relationship Type="http://schemas.openxmlformats.org/officeDocument/2006/relationships/hyperlink" Target="https://atflee.com/shopinfo/guide.html" TargetMode="External" Id="rId45" /><Relationship Type="http://schemas.openxmlformats.org/officeDocument/2006/relationships/hyperlink" Target="https://aleafsports.com" TargetMode="External" Id="rId46" /><Relationship Type="http://schemas.openxmlformats.org/officeDocument/2006/relationships/hyperlink" Target="https://aleafsports.com/Privacy" TargetMode="External" Id="rId47" /><Relationship Type="http://schemas.openxmlformats.org/officeDocument/2006/relationships/hyperlink" Target="https://korspo.com" TargetMode="External" Id="rId48" /><Relationship Type="http://schemas.openxmlformats.org/officeDocument/2006/relationships/hyperlink" Target="https://korspo.com/shopinfo/company.html" TargetMode="External" Id="rId49" /><Relationship Type="http://schemas.openxmlformats.org/officeDocument/2006/relationships/hyperlink" Target="http://www.sjkorea.co.kr" TargetMode="External" Id="rId50" /><Relationship Type="http://schemas.openxmlformats.org/officeDocument/2006/relationships/hyperlink" Target="http://www.sjkorea.co.kr/shop/goods/goods_list.php?category=009003006" TargetMode="External" Id="rId51" /><Relationship Type="http://schemas.openxmlformats.org/officeDocument/2006/relationships/hyperlink" Target="https://www.medibrand.co.kr/" TargetMode="External" Id="rId52" /><Relationship Type="http://schemas.openxmlformats.org/officeDocument/2006/relationships/hyperlink" Target="https://www.medibrand.co.kr/service/cooperation.php" TargetMode="External" Id="rId53" /><Relationship Type="http://schemas.openxmlformats.org/officeDocument/2006/relationships/hyperlink" Target="https://cases.higher-gift.com/" TargetMode="External" Id="rId54" /><Relationship Type="http://schemas.openxmlformats.org/officeDocument/2006/relationships/hyperlink" Target="https://cases.higher-gift.com/contact/" TargetMode="External" Id="rId55" /><Relationship Type="http://schemas.openxmlformats.org/officeDocument/2006/relationships/hyperlink" Target="https://www.elmogoon.com/" TargetMode="External" Id="rId56" /><Relationship Type="http://schemas.openxmlformats.org/officeDocument/2006/relationships/hyperlink" Target="https://www.elmogoon.com/ ; https://www.facebook.com/elmogoon0980/" TargetMode="External" Id="rId57" /><Relationship Type="http://schemas.openxmlformats.org/officeDocument/2006/relationships/hyperlink" Target="https://xdeconstruct.com/" TargetMode="External" Id="rId58" /><Relationship Type="http://schemas.openxmlformats.org/officeDocument/2006/relationships/hyperlink" Target="https://m.xdeconstruct.com/product/list_thumb.html?cate_no=42 ; https://xdeconstruct.com/" TargetMode="External" Id="rId59" /><Relationship Type="http://schemas.openxmlformats.org/officeDocument/2006/relationships/hyperlink" Target="https://clawsup.com/" TargetMode="External" Id="rId60" /><Relationship Type="http://schemas.openxmlformats.org/officeDocument/2006/relationships/hyperlink" Target="https://clawsup.com/ ; https://www.emis.com/php/company-profile/KR/Clawsup_Inc_en_23408343.html" TargetMode="External" Id="rId61" /><Relationship Type="http://schemas.openxmlformats.org/officeDocument/2006/relationships/hyperlink" Target="https://www.hushwish.com/" TargetMode="External" Id="rId62" /><Relationship Type="http://schemas.openxmlformats.org/officeDocument/2006/relationships/hyperlink" Target="https://www.hushwish.com/contact_form/ ; https://www.hushwish.com/post_character/hushwish_licensing/" TargetMode="External" Id="rId63" /><Relationship Type="http://schemas.openxmlformats.org/officeDocument/2006/relationships/hyperlink" Target="https://goodpicstudio.com/" TargetMode="External" Id="rId64" /><Relationship Type="http://schemas.openxmlformats.org/officeDocument/2006/relationships/hyperlink" Target="https://goodpicstudio.com/ ; https://goodpicstudio.com/contact/" TargetMode="External" Id="rId65" /><Relationship Type="http://schemas.openxmlformats.org/officeDocument/2006/relationships/hyperlink" Target="https://diiver.kr/" TargetMode="External" Id="rId66" /><Relationship Type="http://schemas.openxmlformats.org/officeDocument/2006/relationships/hyperlink" Target="https://diiver.kr/ ; https://www.diiver.kr/service" TargetMode="External" Id="rId67" /><Relationship Type="http://schemas.openxmlformats.org/officeDocument/2006/relationships/hyperlink" Target="https://mansangsa.com/" TargetMode="External" Id="rId68" /><Relationship Type="http://schemas.openxmlformats.org/officeDocument/2006/relationships/hyperlink" Target="https://mansangsa.com/about ; https://mansangsa.com/dolls-figures" TargetMode="External" Id="rId69" /><Relationship Type="http://schemas.openxmlformats.org/officeDocument/2006/relationships/hyperlink" Target="https://mondayfactory.co.kr/" TargetMode="External" Id="rId70" /><Relationship Type="http://schemas.openxmlformats.org/officeDocument/2006/relationships/hyperlink" Target="https://m.mondayfactory.co.kr/shopinfo/company.html ; https://mondayfactory.co.kr/category/%EC%9D%91%EC%9B%90%EB%B4%89/586/" TargetMode="External" Id="rId71" /><Relationship Type="http://schemas.openxmlformats.org/officeDocument/2006/relationships/hyperlink" Target="https://ozjejakso.com/" TargetMode="External" Id="rId72" /><Relationship Type="http://schemas.openxmlformats.org/officeDocument/2006/relationships/hyperlink" Target="https://ozjejakso.com/ ; https://www.nextunicorn.kr/company/38d1c9668ce44aa7" TargetMode="External" Id="rId73" /><Relationship Type="http://schemas.openxmlformats.org/officeDocument/2006/relationships/hyperlink" Target="https://bethegoods.shop/" TargetMode="External" Id="rId74" /><Relationship Type="http://schemas.openxmlformats.org/officeDocument/2006/relationships/hyperlink" Target="https://bethegoods.shop/welcome-kit" TargetMode="External" Id="rId75" /><Relationship Type="http://schemas.openxmlformats.org/officeDocument/2006/relationships/hyperlink" Target="https://www.sumthing.co.kr/" TargetMode="External" Id="rId76" /><Relationship Type="http://schemas.openxmlformats.org/officeDocument/2006/relationships/hyperlink" Target="https://www.sumthing.co.kr/About" TargetMode="External" Id="rId77" /><Relationship Type="http://schemas.openxmlformats.org/officeDocument/2006/relationships/hyperlink" Target="https://www.thearc.kr/" TargetMode="External" Id="rId78" /><Relationship Type="http://schemas.openxmlformats.org/officeDocument/2006/relationships/hyperlink" Target="https://www.thearc.kr/kitpackage" TargetMode="External" Id="rId79" /><Relationship Type="http://schemas.openxmlformats.org/officeDocument/2006/relationships/hyperlink" Target="https://aonegift.co.kr/" TargetMode="External" Id="rId80" /><Relationship Type="http://schemas.openxmlformats.org/officeDocument/2006/relationships/hyperlink" Target="https://aonegift.co.kr/" TargetMode="External" Id="rId81" /><Relationship Type="http://schemas.openxmlformats.org/officeDocument/2006/relationships/hyperlink" Target="https://juagift.com/" TargetMode="External" Id="rId82" /><Relationship Type="http://schemas.openxmlformats.org/officeDocument/2006/relationships/hyperlink" Target="https://juagift.com/" TargetMode="External" Id="rId83" /><Relationship Type="http://schemas.openxmlformats.org/officeDocument/2006/relationships/hyperlink" Target="https://www.intermarket.co.kr/" TargetMode="External" Id="rId84" /><Relationship Type="http://schemas.openxmlformats.org/officeDocument/2006/relationships/hyperlink" Target="https://www.intermarket.co.kr/src/guide_usage.php" TargetMode="External" Id="rId85" /><Relationship Type="http://schemas.openxmlformats.org/officeDocument/2006/relationships/hyperlink" Target="https://adpanchok.co.kr/" TargetMode="External" Id="rId86" /><Relationship Type="http://schemas.openxmlformats.org/officeDocument/2006/relationships/hyperlink" Target="https://adpanchok.co.kr/partner/" TargetMode="External" Id="rId87" /><Relationship Type="http://schemas.openxmlformats.org/officeDocument/2006/relationships/hyperlink" Target="https://giftinfo.co.kr/" TargetMode="External" Id="rId88" /><Relationship Type="http://schemas.openxmlformats.org/officeDocument/2006/relationships/hyperlink" Target="https://giftinfo.co.kr/" TargetMode="External" Id="rId89" /><Relationship Type="http://schemas.openxmlformats.org/officeDocument/2006/relationships/hyperlink" Target="https://www.synergygift.co.kr/" TargetMode="External" Id="rId90" /><Relationship Type="http://schemas.openxmlformats.org/officeDocument/2006/relationships/hyperlink" Target="https://www.synergygift.co.kr/" TargetMode="External" Id="rId91" /><Relationship Type="http://schemas.openxmlformats.org/officeDocument/2006/relationships/hyperlink" Target="https://87nara.kr/" TargetMode="External" Id="rId92" /><Relationship Type="http://schemas.openxmlformats.org/officeDocument/2006/relationships/hyperlink" Target="https://87nara.kr/" TargetMode="External" Id="rId93" /><Relationship Type="http://schemas.openxmlformats.org/officeDocument/2006/relationships/hyperlink" Target="https://panchock.net/" TargetMode="External" Id="rId94" /><Relationship Type="http://schemas.openxmlformats.org/officeDocument/2006/relationships/hyperlink" Target="https://panchock.net/" TargetMode="External" Id="rId95" /><Relationship Type="http://schemas.openxmlformats.org/officeDocument/2006/relationships/hyperlink" Target="https://easy1.co.kr/" TargetMode="External" Id="rId96" /><Relationship Type="http://schemas.openxmlformats.org/officeDocument/2006/relationships/hyperlink" Target="https://easy1.co.kr/src/privacy.php" TargetMode="External" Id="rId97" /><Relationship Type="http://schemas.openxmlformats.org/officeDocument/2006/relationships/hyperlink" Target="https://www.maumsangja.com" TargetMode="External" Id="rId98" /><Relationship Type="http://schemas.openxmlformats.org/officeDocument/2006/relationships/hyperlink" Target="https://www.maumsangja.com/" TargetMode="External" Id="rId99" /><Relationship Type="http://schemas.openxmlformats.org/officeDocument/2006/relationships/hyperlink" Target="https://www.boxne.co.kr" TargetMode="External" Id="rId100" /><Relationship Type="http://schemas.openxmlformats.org/officeDocument/2006/relationships/hyperlink" Target="https://www.boxne.co.kr/" TargetMode="External" Id="rId101" /><Relationship Type="http://schemas.openxmlformats.org/officeDocument/2006/relationships/hyperlink" Target="https://www.boxmga.com" TargetMode="External" Id="rId102" /><Relationship Type="http://schemas.openxmlformats.org/officeDocument/2006/relationships/hyperlink" Target="https://www.boxmga.com/sub06/sub01.php" TargetMode="External" Id="rId103" /><Relationship Type="http://schemas.openxmlformats.org/officeDocument/2006/relationships/hyperlink" Target="https://arrr.kr" TargetMode="External" Id="rId104" /><Relationship Type="http://schemas.openxmlformats.org/officeDocument/2006/relationships/hyperlink" Target="https://arrr.kr/cs/" TargetMode="External" Id="rId105" /><Relationship Type="http://schemas.openxmlformats.org/officeDocument/2006/relationships/hyperlink" Target="https://alwaysbomgift.com/" TargetMode="External" Id="rId106" /><Relationship Type="http://schemas.openxmlformats.org/officeDocument/2006/relationships/hyperlink" Target="https://alwaysbomgift.com/" TargetMode="External" Id="rId107" /><Relationship Type="http://schemas.openxmlformats.org/officeDocument/2006/relationships/hyperlink" Target="https://mangogift.co.kr/" TargetMode="External" Id="rId108" /><Relationship Type="http://schemas.openxmlformats.org/officeDocument/2006/relationships/hyperlink" Target="https://mangogift.co.kr/" TargetMode="External" Id="rId109" /><Relationship Type="http://schemas.openxmlformats.org/officeDocument/2006/relationships/hyperlink" Target="https://arogift.com/" TargetMode="External" Id="rId110" /><Relationship Type="http://schemas.openxmlformats.org/officeDocument/2006/relationships/hyperlink" Target="https://arogift.com/" TargetMode="External" Id="rId111" /><Relationship Type="http://schemas.openxmlformats.org/officeDocument/2006/relationships/hyperlink" Target="https://www.yesformgift.com/" TargetMode="External" Id="rId112" /><Relationship Type="http://schemas.openxmlformats.org/officeDocument/2006/relationships/hyperlink" Target="https://find.yesformgift.com/sp/event_%C1%B9%BE%F7%7C%C0%D4%C7%D0%BC%B1%B9%B0/" TargetMode="External" Id="rId113" /><Relationship Type="http://schemas.openxmlformats.org/officeDocument/2006/relationships/hyperlink" Target="https://wishcar.co.kr/" TargetMode="External" Id="rId114" /><Relationship Type="http://schemas.openxmlformats.org/officeDocument/2006/relationships/hyperlink" Target="https://www.benews.co.kr/news/475927" TargetMode="External" Id="rId115" /><Relationship Type="http://schemas.openxmlformats.org/officeDocument/2006/relationships/hyperlink" Target="https://jgift.kr/" TargetMode="External" Id="rId116" /><Relationship Type="http://schemas.openxmlformats.org/officeDocument/2006/relationships/hyperlink" Target="https://jgift.kr/shop/view.php?index_no=749880" TargetMode="External" Id="rId117" /><Relationship Type="http://schemas.openxmlformats.org/officeDocument/2006/relationships/hyperlink" Target="https://giftheaven.co.kr/" TargetMode="External" Id="rId118" /><Relationship Type="http://schemas.openxmlformats.org/officeDocument/2006/relationships/hyperlink" Target="https://giftheaven.co.kr/gift/%ED%95%99%EA%B5%90-%EA%B8%B0%EB%85%90%ED%92%88/" TargetMode="External" Id="rId119" /><Relationship Type="http://schemas.openxmlformats.org/officeDocument/2006/relationships/hyperlink" Target="https://iex8808.cafe24.com" TargetMode="External" Id="rId120" /><Relationship Type="http://schemas.openxmlformats.org/officeDocument/2006/relationships/hyperlink" Target="https://iex8808.cafe24.com/ ; https://iex8808.cafe24.com/category/%EA%B0%80%ED%8C%90%EB%8C%80%C2%B7%ED%99%8D%EB%B3%B4%C2%B7%ED%8C%90%EC%B4%89%C2%B7%EB%8B%A4%ED%8A%B8/53/" TargetMode="External" Id="rId121" /><Relationship Type="http://schemas.openxmlformats.org/officeDocument/2006/relationships/hyperlink" Target="https://www.comma-entertainment.com" TargetMode="External" Id="rId122" /><Relationship Type="http://schemas.openxmlformats.org/officeDocument/2006/relationships/hyperlink" Target="https://www.comma-entertainment.com/contact ; https://www.comma-entertainment.com/experience" TargetMode="External" Id="rId123" /><Relationship Type="http://schemas.openxmlformats.org/officeDocument/2006/relationships/hyperlink" Target="https://www.creaphics.com" TargetMode="External" Id="rId124" /><Relationship Type="http://schemas.openxmlformats.org/officeDocument/2006/relationships/hyperlink" Target="https://www.creaphics.com/24" TargetMode="External" Id="rId125" /><Relationship Type="http://schemas.openxmlformats.org/officeDocument/2006/relationships/hyperlink" Target="http://www.topstandard.co.kr" TargetMode="External" Id="rId126" /><Relationship Type="http://schemas.openxmlformats.org/officeDocument/2006/relationships/hyperlink" Target="http://www.topstandard.co.kr/ ; https://www.jobkorea.co.kr/recruit/co_read/c/topstandard" TargetMode="External" Id="rId127" /><Relationship Type="http://schemas.openxmlformats.org/officeDocument/2006/relationships/hyperlink" Target="https://www.funplan.co.kr" TargetMode="External" Id="rId128" /><Relationship Type="http://schemas.openxmlformats.org/officeDocument/2006/relationships/hyperlink" Target="https://www.funplan.co.kr/" TargetMode="External" Id="rId129" /><Relationship Type="http://schemas.openxmlformats.org/officeDocument/2006/relationships/hyperlink" Target="https://www.sscomkor.com" TargetMode="External" Id="rId130" /><Relationship Type="http://schemas.openxmlformats.org/officeDocument/2006/relationships/hyperlink" Target="https://www.sscomkor.com/aboutus ; https://www.sscomkor.com/shop/?idx=27" TargetMode="External" Id="rId131" /><Relationship Type="http://schemas.openxmlformats.org/officeDocument/2006/relationships/hyperlink" Target="https://www.icecubecom.co.kr" TargetMode="External" Id="rId132" /><Relationship Type="http://schemas.openxmlformats.org/officeDocument/2006/relationships/hyperlink" Target="https://www.icecubecom.co.kr/BUSINESS" TargetMode="External" Id="rId133" /><Relationship Type="http://schemas.openxmlformats.org/officeDocument/2006/relationships/hyperlink" Target="https://ad119.com" TargetMode="External" Id="rId134" /><Relationship Type="http://schemas.openxmlformats.org/officeDocument/2006/relationships/hyperlink" Target="https://ad119.com/ ; https://ad119.com/55/?idx=115" TargetMode="External" Id="rId135" /><Relationship Type="http://schemas.openxmlformats.org/officeDocument/2006/relationships/hyperlink" Target="https://www.mothid.com" TargetMode="External" Id="rId136" /><Relationship Type="http://schemas.openxmlformats.org/officeDocument/2006/relationships/hyperlink" Target="https://www.mothid.com/promotion" TargetMode="External" Id="rId137" /><Relationship Type="http://schemas.openxmlformats.org/officeDocument/2006/relationships/hyperlink" Target="https://www.placecom.co.kr" TargetMode="External" Id="rId138" /><Relationship Type="http://schemas.openxmlformats.org/officeDocument/2006/relationships/hyperlink" Target="https://www.placecom.co.kr/%ED%9A%8C%EC%82%AC%EC%86%8C%EA%B0%9C" TargetMode="External" Id="rId139" /><Relationship Type="http://schemas.openxmlformats.org/officeDocument/2006/relationships/hyperlink" Target="https://soonfung.com" TargetMode="External" Id="rId140" /><Relationship Type="http://schemas.openxmlformats.org/officeDocument/2006/relationships/hyperlink" Target="https://soonfung.com/" TargetMode="External" Id="rId141" /><Relationship Type="http://schemas.openxmlformats.org/officeDocument/2006/relationships/hyperlink" Target="https://www.chinabuy.co.kr" TargetMode="External" Id="rId142" /><Relationship Type="http://schemas.openxmlformats.org/officeDocument/2006/relationships/hyperlink" Target="https://www.chinabuy.co.kr/" TargetMode="External" Id="rId143" /><Relationship Type="http://schemas.openxmlformats.org/officeDocument/2006/relationships/hyperlink" Target="https://giftanddoll.co.kr" TargetMode="External" Id="rId144" /><Relationship Type="http://schemas.openxmlformats.org/officeDocument/2006/relationships/hyperlink" Target="https://giftanddoll.co.kr/" TargetMode="External" Id="rId145" /><Relationship Type="http://schemas.openxmlformats.org/officeDocument/2006/relationships/hyperlink" Target="https://www.directgift.co.kr" TargetMode="External" Id="rId146" /><Relationship Type="http://schemas.openxmlformats.org/officeDocument/2006/relationships/hyperlink" Target="https://www.directgift.co.kr/.new/info.asp" TargetMode="External" Id="rId147" /><Relationship Type="http://schemas.openxmlformats.org/officeDocument/2006/relationships/hyperlink" Target="https://daehangift.co.kr" TargetMode="External" Id="rId148" /><Relationship Type="http://schemas.openxmlformats.org/officeDocument/2006/relationships/hyperlink" Target="https://daehangift.co.kr/" TargetMode="External" Id="rId149" /><Relationship Type="http://schemas.openxmlformats.org/officeDocument/2006/relationships/hyperlink" Target="https://redgift.kr" TargetMode="External" Id="rId150" /><Relationship Type="http://schemas.openxmlformats.org/officeDocument/2006/relationships/hyperlink" Target="https://bizno.net/article/2966400466" TargetMode="External" Id="rId151" /><Relationship Type="http://schemas.openxmlformats.org/officeDocument/2006/relationships/hyperlink" Target="https://mysunmul.com" TargetMode="External" Id="rId152" /><Relationship Type="http://schemas.openxmlformats.org/officeDocument/2006/relationships/hyperlink" Target="https://mysunmul.com/" TargetMode="External" Id="rId153" /><Relationship Type="http://schemas.openxmlformats.org/officeDocument/2006/relationships/hyperlink" Target="https://ablerkorea.com" TargetMode="External" Id="rId154" /><Relationship Type="http://schemas.openxmlformats.org/officeDocument/2006/relationships/hyperlink" Target="https://ablerkorea.com/" TargetMode="External" Id="rId155" /><Relationship Type="http://schemas.openxmlformats.org/officeDocument/2006/relationships/hyperlink" Target="https://www.customland.kr" TargetMode="External" Id="rId156" /><Relationship Type="http://schemas.openxmlformats.org/officeDocument/2006/relationships/hyperlink" Target="https://www.customland.kr/" TargetMode="External" Id="rId157" /><Relationship Type="http://schemas.openxmlformats.org/officeDocument/2006/relationships/hyperlink" Target="https://www.dy-sports.com" TargetMode="External" Id="rId158" /><Relationship Type="http://schemas.openxmlformats.org/officeDocument/2006/relationships/hyperlink" Target="https://www.dy-sports.com/" TargetMode="External" Id="rId159" /><Relationship Type="http://schemas.openxmlformats.org/officeDocument/2006/relationships/hyperlink" Target="https://daehosports.com" TargetMode="External" Id="rId160" /><Relationship Type="http://schemas.openxmlformats.org/officeDocument/2006/relationships/hyperlink" Target="https://daehosports.com/" TargetMode="External" Id="rId161" /><Relationship Type="http://schemas.openxmlformats.org/officeDocument/2006/relationships/hyperlink" Target="https://sportler.co.kr" TargetMode="External" Id="rId162" /><Relationship Type="http://schemas.openxmlformats.org/officeDocument/2006/relationships/hyperlink" Target="https://sportler.co.kr/member/privacy.html" TargetMode="External" Id="rId163" /><Relationship Type="http://schemas.openxmlformats.org/officeDocument/2006/relationships/hyperlink" Target="https://sisselkorea.com" TargetMode="External" Id="rId164" /><Relationship Type="http://schemas.openxmlformats.org/officeDocument/2006/relationships/hyperlink" Target="https://sisselkorea.com/about.html" TargetMode="External" Id="rId165" /><Relationship Type="http://schemas.openxmlformats.org/officeDocument/2006/relationships/hyperlink" Target="https://gofitkorea.com" TargetMode="External" Id="rId166" /><Relationship Type="http://schemas.openxmlformats.org/officeDocument/2006/relationships/hyperlink" Target="https://gofitkorea.com/" TargetMode="External" Id="rId167" /><Relationship Type="http://schemas.openxmlformats.org/officeDocument/2006/relationships/hyperlink" Target="https://drmro.com" TargetMode="External" Id="rId168" /><Relationship Type="http://schemas.openxmlformats.org/officeDocument/2006/relationships/hyperlink" Target="https://drmro.com/" TargetMode="External" Id="rId169" /><Relationship Type="http://schemas.openxmlformats.org/officeDocument/2006/relationships/hyperlink" Target="https://jongromedi.com" TargetMode="External" Id="rId170" /><Relationship Type="http://schemas.openxmlformats.org/officeDocument/2006/relationships/hyperlink" Target="https://jongromedi.com" TargetMode="External" Id="rId171" /><Relationship Type="http://schemas.openxmlformats.org/officeDocument/2006/relationships/hyperlink" Target="https://www.donghwasports.net" TargetMode="External" Id="rId172" /><Relationship Type="http://schemas.openxmlformats.org/officeDocument/2006/relationships/hyperlink" Target="https://www.donghwasports.net/" TargetMode="External" Id="rId173" /><Relationship Type="http://schemas.openxmlformats.org/officeDocument/2006/relationships/hyperlink" Target="https://medisale.co.kr" TargetMode="External" Id="rId174" /><Relationship Type="http://schemas.openxmlformats.org/officeDocument/2006/relationships/hyperlink" Target="https://medisale.co.kr/" TargetMode="External" Id="rId175" /><Relationship Type="http://schemas.openxmlformats.org/officeDocument/2006/relationships/hyperlink" Target="https://pilamoa.com" TargetMode="External" Id="rId176" /><Relationship Type="http://schemas.openxmlformats.org/officeDocument/2006/relationships/hyperlink" Target="https://pilamoa.com" TargetMode="External" Id="rId177" /><Relationship Type="http://schemas.openxmlformats.org/officeDocument/2006/relationships/hyperlink" Target="https://spofl.co.kr" TargetMode="External" Id="rId178" /><Relationship Type="http://schemas.openxmlformats.org/officeDocument/2006/relationships/hyperlink" Target="https://spofl.co.kr/board/faq/3/" TargetMode="External" Id="rId179" /><Relationship Type="http://schemas.openxmlformats.org/officeDocument/2006/relationships/hyperlink" Target="http://sns3524.godomall.com" TargetMode="External" Id="rId180" /><Relationship Type="http://schemas.openxmlformats.org/officeDocument/2006/relationships/hyperlink" Target="http://sns3524.godomall.com/main/index.php?pcView=y" TargetMode="External" Id="rId181" /><Relationship Type="http://schemas.openxmlformats.org/officeDocument/2006/relationships/hyperlink" Target="https://tratac.co.kr" TargetMode="External" Id="rId182" /><Relationship Type="http://schemas.openxmlformats.org/officeDocument/2006/relationships/hyperlink" Target="https://tratac.co.kr/shop/prd_list.php?catcode=161100" TargetMode="External" Id="rId183" /><Relationship Type="http://schemas.openxmlformats.org/officeDocument/2006/relationships/hyperlink" Target="https://harasports.net" TargetMode="External" Id="rId184" /><Relationship Type="http://schemas.openxmlformats.org/officeDocument/2006/relationships/hyperlink" Target="https://harasports.net/" TargetMode="External" Id="rId185" /><Relationship Type="http://schemas.openxmlformats.org/officeDocument/2006/relationships/hyperlink" Target="https://www.bizmarket.com/" TargetMode="External" Id="rId186" /><Relationship Type="http://schemas.openxmlformats.org/officeDocument/2006/relationships/hyperlink" Target="https://www.bizmarket.com/promotion" TargetMode="External" Id="rId187" /><Relationship Type="http://schemas.openxmlformats.org/officeDocument/2006/relationships/hyperlink" Target="https://garogift.com/" TargetMode="External" Id="rId188" /><Relationship Type="http://schemas.openxmlformats.org/officeDocument/2006/relationships/hyperlink" Target="https://garogift.com/%EB%B3%91%EC%9B%90-%ED%8C%90%EC%B4%89%EB%AC%BC/" TargetMode="External" Id="rId189" /><Relationship Type="http://schemas.openxmlformats.org/officeDocument/2006/relationships/hyperlink" Target="https://naregift.kr/" TargetMode="External" Id="rId190" /><Relationship Type="http://schemas.openxmlformats.org/officeDocument/2006/relationships/hyperlink" Target="https://naregift.kr/m/sub/prdview.php?prdcode=249476" TargetMode="External" Id="rId191" /><Relationship Type="http://schemas.openxmlformats.org/officeDocument/2006/relationships/hyperlink" Target="https://limegiftmall.com/" TargetMode="External" Id="rId192" /><Relationship Type="http://schemas.openxmlformats.org/officeDocument/2006/relationships/hyperlink" Target="https://limegiftmall.com/list/list.html?ccode=12292" TargetMode="External" Id="rId193" /><Relationship Type="http://schemas.openxmlformats.org/officeDocument/2006/relationships/hyperlink" Target="http://bananajoy.kr/" TargetMode="External" Id="rId194" /><Relationship Type="http://schemas.openxmlformats.org/officeDocument/2006/relationships/hyperlink" Target="http://www.bananajoy.kr/list/list.html?ccode=12292" TargetMode="External" Id="rId195" /><Relationship Type="http://schemas.openxmlformats.org/officeDocument/2006/relationships/hyperlink" Target="http://aljjagift.com/" TargetMode="External" Id="rId196" /><Relationship Type="http://schemas.openxmlformats.org/officeDocument/2006/relationships/hyperlink" Target="http://aljjagift.com/" TargetMode="External" Id="rId197" /><Relationship Type="http://schemas.openxmlformats.org/officeDocument/2006/relationships/hyperlink" Target="https://joilgift.kr/" TargetMode="External" Id="rId198" /><Relationship Type="http://schemas.openxmlformats.org/officeDocument/2006/relationships/hyperlink" Target="https://joilgift.kr/m/sub/prdview.php?prdcode=212000" TargetMode="External" Id="rId199" /><Relationship Type="http://schemas.openxmlformats.org/officeDocument/2006/relationships/hyperlink" Target="https://dapaleo.com/" TargetMode="External" Id="rId200" /><Relationship Type="http://schemas.openxmlformats.org/officeDocument/2006/relationships/hyperlink" Target="https://dapaleo.business.site/" TargetMode="External" Id="rId201" /><Relationship Type="http://schemas.openxmlformats.org/officeDocument/2006/relationships/hyperlink" Target="https://printgift.co.kr/" TargetMode="External" Id="rId202" /><Relationship Type="http://schemas.openxmlformats.org/officeDocument/2006/relationships/hyperlink" Target="https://printgift.co.kr/shopinfo/company.html" TargetMode="External" Id="rId203" /><Relationship Type="http://schemas.openxmlformats.org/officeDocument/2006/relationships/hyperlink" Target="https://o-sean.io/" TargetMode="External" Id="rId204" /><Relationship Type="http://schemas.openxmlformats.org/officeDocument/2006/relationships/hyperlink" Target="https://o-sean.io/about ; https://o-sean.io/category/item/LS-023" TargetMode="External" Id="rId205" /><Relationship Type="http://schemas.openxmlformats.org/officeDocument/2006/relationships/hyperlink" Target="https://goodsnara.com/" TargetMode="External" Id="rId206" /><Relationship Type="http://schemas.openxmlformats.org/officeDocument/2006/relationships/hyperlink" Target="https://goodsnara.com/ ; https://goodsnara.com/form" TargetMode="External" Id="rId207" /><Relationship Type="http://schemas.openxmlformats.org/officeDocument/2006/relationships/hyperlink" Target="http://www.smileworks.co.kr/" TargetMode="External" Id="rId208" /><Relationship Type="http://schemas.openxmlformats.org/officeDocument/2006/relationships/hyperlink" Target="http://www.smileworks.co.kr/default/work/sub1.php ; http://www.smileworks.co.kr/default/work/sub2.php" TargetMode="External" Id="rId209" /><Relationship Type="http://schemas.openxmlformats.org/officeDocument/2006/relationships/hyperlink" Target="https://www.toyworks.kr/" TargetMode="External" Id="rId210" /><Relationship Type="http://schemas.openxmlformats.org/officeDocument/2006/relationships/hyperlink" Target="https://www.toyworks.kr/service/company.php ; https://www.cinavro.kr/service/company.php" TargetMode="External" Id="rId211" /><Relationship Type="http://schemas.openxmlformats.org/officeDocument/2006/relationships/hyperlink" Target="https://itension.co.kr/" TargetMode="External" Id="rId212" /><Relationship Type="http://schemas.openxmlformats.org/officeDocument/2006/relationships/hyperlink" Target="https://itension.co.kr/ ; https://www.daangn.com/kr/local-profile/6204/" TargetMode="External" Id="rId213" /><Relationship Type="http://schemas.openxmlformats.org/officeDocument/2006/relationships/hyperlink" Target="https://inabooth.io/" TargetMode="External" Id="rId214" /><Relationship Type="http://schemas.openxmlformats.org/officeDocument/2006/relationships/hyperlink" Target="https://inabooth.io/en ; https://news.mt.co.kr/mtview.php?no=2022050311250916932" TargetMode="External" Id="rId215" /><Relationship Type="http://schemas.openxmlformats.org/officeDocument/2006/relationships/hyperlink" Target="https://www.kevinsroom.co.kr/" TargetMode="External" Id="rId216" /><Relationship Type="http://schemas.openxmlformats.org/officeDocument/2006/relationships/hyperlink" Target="https://www.kevinsroom.co.kr/contactmain ; https://www.kevinsroom.co.kr/plushdoll" TargetMode="External" Id="rId217" /><Relationship Type="http://schemas.openxmlformats.org/officeDocument/2006/relationships/hyperlink" Target="https://weo.co.kr/" TargetMode="External" Id="rId218" /><Relationship Type="http://schemas.openxmlformats.org/officeDocument/2006/relationships/hyperlink" Target="https://weo.co.kr/ ; https://bizno.net/article/7378700350" TargetMode="External" Id="rId219" /><Relationship Type="http://schemas.openxmlformats.org/officeDocument/2006/relationships/hyperlink" Target="https://wefuncorp.com/goods" TargetMode="External" Id="rId220" /><Relationship Type="http://schemas.openxmlformats.org/officeDocument/2006/relationships/hyperlink" Target="https://wefuncorp.com/goods" TargetMode="External" Id="rId221" /><Relationship Type="http://schemas.openxmlformats.org/officeDocument/2006/relationships/hyperlink" Target="https://bigstem.co.kr/" TargetMode="External" Id="rId222" /><Relationship Type="http://schemas.openxmlformats.org/officeDocument/2006/relationships/hyperlink" Target="https://bigstem.co.kr/about-us/" TargetMode="External" Id="rId223" /><Relationship Type="http://schemas.openxmlformats.org/officeDocument/2006/relationships/hyperlink" Target="https://allthatprinting.co.kr/" TargetMode="External" Id="rId224" /><Relationship Type="http://schemas.openxmlformats.org/officeDocument/2006/relationships/hyperlink" Target="https://allthatprinting.co.kr/about.html" TargetMode="External" Id="rId225" /><Relationship Type="http://schemas.openxmlformats.org/officeDocument/2006/relationships/hyperlink" Target="https://giftwiki.kr/" TargetMode="External" Id="rId226" /><Relationship Type="http://schemas.openxmlformats.org/officeDocument/2006/relationships/hyperlink" Target="https://giftwiki.kr/" TargetMode="External" Id="rId227" /><Relationship Type="http://schemas.openxmlformats.org/officeDocument/2006/relationships/hyperlink" Target="https://deliveryfactory.co.kr" TargetMode="External" Id="rId228" /><Relationship Type="http://schemas.openxmlformats.org/officeDocument/2006/relationships/hyperlink" Target="https://deliveryfactory.co.kr/" TargetMode="External" Id="rId229" /><Relationship Type="http://schemas.openxmlformats.org/officeDocument/2006/relationships/hyperlink" Target="https://www.japantalk.net/free/?mod=document&amp;uid=5110" TargetMode="External" Id="rId230" /><Relationship Type="http://schemas.openxmlformats.org/officeDocument/2006/relationships/hyperlink" Target="https://sourcingchina.co.kr" TargetMode="External" Id="rId231" /><Relationship Type="http://schemas.openxmlformats.org/officeDocument/2006/relationships/hyperlink" Target="https://sourcingchina.co.kr/go_01/" TargetMode="External" Id="rId232" /><Relationship Type="http://schemas.openxmlformats.org/officeDocument/2006/relationships/hyperlink" Target="https://www.yiwuhub.net" TargetMode="External" Id="rId233" /><Relationship Type="http://schemas.openxmlformats.org/officeDocument/2006/relationships/hyperlink" Target="https://www.yiwuhub.net/34" TargetMode="External" Id="rId234" /><Relationship Type="http://schemas.openxmlformats.org/officeDocument/2006/relationships/hyperlink" Target="https://wholesalechina.co.kr" TargetMode="External" Id="rId235" /><Relationship Type="http://schemas.openxmlformats.org/officeDocument/2006/relationships/hyperlink" Target="https://wholesalechina.co.kr/agency/delivery" TargetMode="External" Id="rId236" /><Relationship Type="http://schemas.openxmlformats.org/officeDocument/2006/relationships/hyperlink" Target="http://www.dreamtoy.co.kr" TargetMode="External" Id="rId237" /><Relationship Type="http://schemas.openxmlformats.org/officeDocument/2006/relationships/hyperlink" Target="https://dreamtoy.co.kr/" TargetMode="External" Id="rId238" /><Relationship Type="http://schemas.openxmlformats.org/officeDocument/2006/relationships/hyperlink" Target="https://www.wjung.com/" TargetMode="External" Id="rId239" /><Relationship Type="http://schemas.openxmlformats.org/officeDocument/2006/relationships/hyperlink" Target="https://www.wjung.com/contact/guide.html" TargetMode="External" Id="rId240" /><Relationship Type="http://schemas.openxmlformats.org/officeDocument/2006/relationships/hyperlink" Target="https://www.sm1982.com/" TargetMode="External" Id="rId241" /><Relationship Type="http://schemas.openxmlformats.org/officeDocument/2006/relationships/hyperlink" Target="https://www.sm1982.com/shop/item.php?it_id=00111658455335" TargetMode="External" Id="rId242" /><Relationship Type="http://schemas.openxmlformats.org/officeDocument/2006/relationships/hyperlink" Target="https://www.qudisom.com/" TargetMode="External" Id="rId243" /><Relationship Type="http://schemas.openxmlformats.org/officeDocument/2006/relationships/hyperlink" Target="https://www.qudisom.com/ ; https://www.qudisom.com/sewingorder" TargetMode="External" Id="rId244" /><Relationship Type="http://schemas.openxmlformats.org/officeDocument/2006/relationships/hyperlink" Target="http://www.88toy.co.kr/" TargetMode="External" Id="rId245" /><Relationship Type="http://schemas.openxmlformats.org/officeDocument/2006/relationships/hyperlink" Target="http://www.88toy.co.kr/ABOUTOEM ; http://www.88toy.co.kr/183" TargetMode="External" Id="rId246" /><Relationship Type="http://schemas.openxmlformats.org/officeDocument/2006/relationships/hyperlink" Target="https://gogoods.kr/" TargetMode="External" Id="rId247" /><Relationship Type="http://schemas.openxmlformats.org/officeDocument/2006/relationships/hyperlink" Target="https://gogoods.kr/manufacturing" TargetMode="External" Id="rId248" /><Relationship Type="http://schemas.openxmlformats.org/officeDocument/2006/relationships/hyperlink" Target="https://www.87sarang.com/" TargetMode="External" Id="rId249" /><Relationship Type="http://schemas.openxmlformats.org/officeDocument/2006/relationships/hyperlink" Target="https://www.87sarang.com/co/company2.html" TargetMode="External" Id="rId25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6" customWidth="1" min="1" max="1"/>
    <col width="100" customWidth="1" min="2" max="2"/>
  </cols>
  <sheetData>
    <row r="1">
      <c r="A1" s="1" t="inlineStr">
        <is>
          <t>올투게더나우 B2B 영업 리스트 (한국 영업 × 중국 소싱 파트너 모델)</t>
        </is>
      </c>
      <c r="B1" s="2" t="n"/>
    </row>
    <row r="2">
      <c r="A2" s="2" t="inlineStr"/>
      <c r="B2" s="2" t="n"/>
    </row>
    <row r="3">
      <c r="A3" s="3" t="inlineStr">
        <is>
          <t>시트 구성</t>
        </is>
      </c>
      <c r="B3" s="2" t="n"/>
    </row>
    <row r="4">
      <c r="A4" s="2" t="inlineStr">
        <is>
          <t>영업리스트</t>
        </is>
      </c>
      <c r="B4" s="2" t="inlineStr">
        <is>
          <t>컨택 대상 업체 전체. 노란색 칸(1차연락일~메모)만 직접 채우면 됩니다.</t>
        </is>
      </c>
    </row>
    <row r="5">
      <c r="A5" s="2" t="inlineStr">
        <is>
          <t>요약</t>
        </is>
      </c>
      <c r="B5" s="2" t="inlineStr">
        <is>
          <t>카테고리·우선순위별 업체 수와 연락 진행 현황이 자동 집계됩니다.</t>
        </is>
      </c>
    </row>
    <row r="6">
      <c r="A6" s="2" t="inlineStr">
        <is>
          <t>영업멘트</t>
        </is>
      </c>
      <c r="B6" s="2" t="inlineStr">
        <is>
          <t>전화·이메일 첫 컨택용 스크립트 초안.</t>
        </is>
      </c>
    </row>
    <row r="7">
      <c r="A7" s="2" t="inlineStr"/>
      <c r="B7" s="2" t="n"/>
    </row>
    <row r="8">
      <c r="A8" s="3" t="inlineStr">
        <is>
          <t>우선순위 뜻</t>
        </is>
      </c>
      <c r="B8" s="2" t="n"/>
    </row>
    <row r="9">
      <c r="A9" s="2" t="inlineStr">
        <is>
          <t>상</t>
        </is>
      </c>
      <c r="B9" s="2" t="inlineStr">
        <is>
          <t>중국 소싱 조직이 약하거나 없고, 굿즈/OEM 물량이 꾸준한 곳. 먼저 연락.</t>
        </is>
      </c>
    </row>
    <row r="10">
      <c r="A10" s="2" t="inlineStr">
        <is>
          <t>중</t>
        </is>
      </c>
      <c r="B10" s="2" t="inlineStr">
        <is>
          <t>가능성은 있으나 규모·소싱 방식이 불명확. 2차 연락.</t>
        </is>
      </c>
    </row>
    <row r="11">
      <c r="A11" s="2" t="inlineStr">
        <is>
          <t>하</t>
        </is>
      </c>
      <c r="B11" s="2" t="inlineStr">
        <is>
          <t>중국 자체 공장·지사를 이미 보유(경쟁사). 정보 수집용, 컨택 후순위.</t>
        </is>
      </c>
    </row>
    <row r="12">
      <c r="A12" s="2" t="inlineStr">
        <is>
          <t>회수 대상</t>
        </is>
      </c>
      <c r="B12" s="2" t="inlineStr">
        <is>
          <t>리자위와 결별한 前 파트너(함석민)가 응대하던 거래처. 리자위 쪽 생산 실적이 있으므로 최우선 컨택. 리스트 맨 위에 배치.</t>
        </is>
      </c>
    </row>
    <row r="13">
      <c r="A13" s="3" t="inlineStr"/>
      <c r="B13" s="2" t="n"/>
    </row>
    <row r="14">
      <c r="A14" s="2" t="inlineStr">
        <is>
          <t>주의사항</t>
        </is>
      </c>
      <c r="B14" s="2" t="n"/>
    </row>
    <row r="15">
      <c r="A15" s="2" t="inlineStr">
        <is>
          <t>1</t>
        </is>
      </c>
      <c r="B15" s="2" t="inlineStr">
        <is>
          <t>연락처는 각 회사가 홈페이지에 영업 목적으로 공개한 대표번호·대표메일·문의채널만 수집했습니다.</t>
        </is>
      </c>
    </row>
    <row r="16">
      <c r="A16" s="2" t="inlineStr">
        <is>
          <t>2</t>
        </is>
      </c>
      <c r="B16" s="2" t="inlineStr">
        <is>
          <t>빈칸은 홈페이지에서 확인이 안 된 항목입니다. 전화 걸 때 직접 물어보고 채우세요.</t>
        </is>
      </c>
    </row>
    <row r="17">
      <c r="A17" s="2" t="inlineStr">
        <is>
          <t>3</t>
        </is>
      </c>
      <c r="B17" s="2" t="inlineStr">
        <is>
          <t>연락 전 출처URL을 한 번 열어 현재도 영업 중인지, 번호가 바뀌지 않았는지 확인하세요.</t>
        </is>
      </c>
    </row>
    <row r="18">
      <c r="A18" s="2" t="inlineStr">
        <is>
          <t>4</t>
        </is>
      </c>
      <c r="B18" s="2" t="inlineStr">
        <is>
          <t>1차연락결과는 드롭다운(통화/메일발송/관심/견적요청/거절/부재/재연락)에서 고르면 요약 시트에 자동 집계됩니다.</t>
        </is>
      </c>
    </row>
    <row r="19">
      <c r="A19" s="2" t="inlineStr"/>
      <c r="B19" s="2" t="n"/>
    </row>
    <row r="20">
      <c r="A20" s="2" t="inlineStr">
        <is>
          <t>조사일</t>
        </is>
      </c>
      <c r="B20" s="2" t="inlineStr">
        <is>
          <t>2026-09-09 (웹 공개정보 기준)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2" customWidth="1" min="3" max="3"/>
    <col width="22" customWidth="1" min="4" max="4"/>
    <col width="30" customWidth="1" min="5" max="5"/>
    <col width="16" customWidth="1" min="6" max="6"/>
    <col width="28" customWidth="1" min="7" max="7"/>
    <col width="30" customWidth="1" min="8" max="8"/>
    <col width="12" customWidth="1" min="9" max="9"/>
    <col width="40" customWidth="1" min="10" max="10"/>
    <col width="26" customWidth="1" min="11" max="11"/>
    <col width="50" customWidth="1" min="12" max="12"/>
    <col width="30" customWidth="1" min="13" max="13"/>
    <col width="11" customWidth="1" min="14" max="14"/>
    <col width="10" customWidth="1" min="15" max="15"/>
    <col width="16" customWidth="1" min="16" max="16"/>
    <col width="12" customWidth="1" min="17" max="17"/>
    <col width="30" customWidth="1" min="18" max="18"/>
    <col width="11" customWidth="1" min="19" max="19"/>
    <col width="30" customWidth="1" min="20" max="20"/>
  </cols>
  <sheetData>
    <row r="1" ht="30" customHeight="1">
      <c r="A1" s="4" t="inlineStr">
        <is>
          <t>번호</t>
        </is>
      </c>
      <c r="B1" s="4" t="inlineStr">
        <is>
          <t>우선순위</t>
        </is>
      </c>
      <c r="C1" s="4" t="inlineStr">
        <is>
          <t>업체명</t>
        </is>
      </c>
      <c r="D1" s="4" t="inlineStr">
        <is>
          <t>카테고리</t>
        </is>
      </c>
      <c r="E1" s="4" t="inlineStr">
        <is>
          <t>홈페이지</t>
        </is>
      </c>
      <c r="F1" s="4" t="inlineStr">
        <is>
          <t>대표전화</t>
        </is>
      </c>
      <c r="G1" s="4" t="inlineStr">
        <is>
          <t>이메일</t>
        </is>
      </c>
      <c r="H1" s="4" t="inlineStr">
        <is>
          <t>문의채널</t>
        </is>
      </c>
      <c r="I1" s="4" t="inlineStr">
        <is>
          <t>소재지</t>
        </is>
      </c>
      <c r="J1" s="4" t="inlineStr">
        <is>
          <t>주요취급품목</t>
        </is>
      </c>
      <c r="K1" s="4" t="inlineStr">
        <is>
          <t>중국자체소싱망</t>
        </is>
      </c>
      <c r="L1" s="4" t="inlineStr">
        <is>
          <t>선정이유</t>
        </is>
      </c>
      <c r="M1" s="4" t="inlineStr">
        <is>
          <t>출처URL</t>
        </is>
      </c>
      <c r="N1" s="4" t="inlineStr">
        <is>
          <t>1차연락일</t>
        </is>
      </c>
      <c r="O1" s="4" t="inlineStr">
        <is>
          <t>연락방법</t>
        </is>
      </c>
      <c r="P1" s="4" t="inlineStr">
        <is>
          <t>담당부서/담당자</t>
        </is>
      </c>
      <c r="Q1" s="4" t="inlineStr">
        <is>
          <t>1차연락결과</t>
        </is>
      </c>
      <c r="R1" s="4" t="inlineStr">
        <is>
          <t>후속조치</t>
        </is>
      </c>
      <c r="S1" s="4" t="inlineStr">
        <is>
          <t>다음연락일</t>
        </is>
      </c>
      <c r="T1" s="4" t="inlineStr">
        <is>
          <t>메모</t>
        </is>
      </c>
    </row>
    <row r="2">
      <c r="A2" s="5" t="n">
        <v>1</v>
      </c>
      <c r="B2" s="6" t="inlineStr">
        <is>
          <t>상</t>
        </is>
      </c>
      <c r="C2" s="5" t="inlineStr">
        <is>
          <t>(주)비투비앤씨</t>
        </is>
      </c>
      <c r="D2" s="5" t="inlineStr">
        <is>
          <t>회수 대상(前 파트너 거래처)</t>
        </is>
      </c>
      <c r="E2" s="7" t="inlineStr">
        <is>
          <t>https://btobnc.co.kr/</t>
        </is>
      </c>
      <c r="F2" s="5" t="inlineStr">
        <is>
          <t>02-745-9650</t>
        </is>
      </c>
      <c r="G2" s="5" t="inlineStr">
        <is>
          <t>btobnc@daum.net</t>
        </is>
      </c>
      <c r="H2" s="5" t="inlineStr">
        <is>
          <t>담당: 이병호 (휴대폰은 대표님 보유 메일 서명 참조)</t>
        </is>
      </c>
      <c r="I2" s="5" t="inlineStr">
        <is>
          <t>서울 금천구 가산동(대성디폴리스 B동 1806호)</t>
        </is>
      </c>
      <c r="J2" s="5" t="inlineStr">
        <is>
          <t>판촉물·굿즈 벤더(추정), 세부 품목 확인 필요 / 공개정보: B2B 소싱 플랫폼 기업. 기업 대상 굿즈·PB(자체브랜드)·판촉물(PGI) 기획/개발/소싱 컨설팅, 시즌별 판촉 사은품 디자인·제조, BtoE(임직원몰) 기획·운영. 2008년 6월 설립, 소기업(2023년 매출 약 127.9억, 직원 7명). 팩스 02-745-9649, 사업자번호 101-86-40347.</t>
        </is>
      </c>
      <c r="K2" s="5" t="inlineStr">
        <is>
          <t>약함(前 파트너 함석민을 통해 중국 생산 진행하던 거래처)</t>
        </is>
      </c>
      <c r="L2" s="5" t="inlineStr">
        <is>
          <t>리자위와 결별한 前 파트너(함석민)가 응대하던 거래처로, 리자위 쪽 생산 실적을 근거로 직접 회수 가능.</t>
        </is>
      </c>
      <c r="M2" s="5" t="inlineStr">
        <is>
          <t>함석민 경유 메일 서명(2024) ; https://btobnc.co.kr/contact ; https://www.jobplanet.co.kr/companies/154239/landing/%EB%B9%84%ED%88%AC%EB%B9%84%EC%95%A4%EC%94%A8 ; https://www.jobkorea.co.kr/recruit/co_read/c/choish73</t>
        </is>
      </c>
      <c r="N2" s="8" t="inlineStr"/>
      <c r="O2" s="8" t="inlineStr"/>
      <c r="P2" s="8" t="inlineStr"/>
      <c r="Q2" s="8" t="inlineStr"/>
      <c r="R2" s="8" t="inlineStr"/>
      <c r="S2" s="8" t="inlineStr"/>
      <c r="T2" s="8" t="inlineStr"/>
    </row>
    <row r="3">
      <c r="A3" s="5" t="n">
        <v>2</v>
      </c>
      <c r="B3" s="6" t="inlineStr">
        <is>
          <t>상</t>
        </is>
      </c>
      <c r="C3" s="5" t="inlineStr">
        <is>
          <t>스펙트럼비즈</t>
        </is>
      </c>
      <c r="D3" s="5" t="inlineStr">
        <is>
          <t>회수 대상(前 파트너 거래처)</t>
        </is>
      </c>
      <c r="E3" s="5" t="inlineStr"/>
      <c r="F3" s="5" t="inlineStr"/>
      <c r="G3" s="5" t="inlineStr">
        <is>
          <t>spbiz1@hanmail.net</t>
        </is>
      </c>
      <c r="H3" s="5" t="inlineStr">
        <is>
          <t>담당: 김상현 대표 / 메일 회신 이력 있음(2024.02 클립펜·온습도계 건)</t>
        </is>
      </c>
      <c r="I3" s="5" t="inlineStr"/>
      <c r="J3" s="5" t="inlineStr">
        <is>
          <t>소량 판촉물(클립펜 2종 각 500개, 온습도계 500개, 팬톤 컬러 인쇄) / 공개정보: 검색상 (주)스펙트럼비즈(매장광고 POSM, LED 라이트패널 Wtalk)가 있으나 동일 회사인지 미확인</t>
        </is>
      </c>
      <c r="K3" s="5" t="inlineStr">
        <is>
          <t>약함(前 파트너 함석민을 통해 중국 생산 진행하던 거래처)</t>
        </is>
      </c>
      <c r="L3" s="5" t="inlineStr">
        <is>
          <t>500개 단위 소량 판촉물을 중국 생산하던 거래처. 소량·팬톤 인쇄 대응 가능함을 강조하면 회수 가능성 높음.</t>
        </is>
      </c>
      <c r="M3" s="5" t="inlineStr">
        <is>
          <t>함석민 경유 메일(2024.02.27) ; http://www.04uk.com/bbs/board.php?bo_table=03&amp;wr_id=34299 ; https://rainbowdeco.com/contact ; https://abnexo.gobizkorea.com/user/goods/frontGoodsDetail.do?goods_no=GS2021101807985</t>
        </is>
      </c>
      <c r="N3" s="8" t="inlineStr"/>
      <c r="O3" s="8" t="inlineStr"/>
      <c r="P3" s="8" t="inlineStr"/>
      <c r="Q3" s="8" t="inlineStr"/>
      <c r="R3" s="8" t="inlineStr"/>
      <c r="S3" s="8" t="inlineStr"/>
      <c r="T3" s="8" t="inlineStr"/>
    </row>
    <row r="4">
      <c r="A4" s="5" t="n">
        <v>3</v>
      </c>
      <c r="B4" s="6" t="inlineStr">
        <is>
          <t>상</t>
        </is>
      </c>
      <c r="C4" s="5" t="inlineStr">
        <is>
          <t>지티비(GTB)</t>
        </is>
      </c>
      <c r="D4" s="5" t="inlineStr">
        <is>
          <t>회수 대상(前 파트너 거래처)</t>
        </is>
      </c>
      <c r="E4" s="5" t="inlineStr"/>
      <c r="F4" s="5" t="inlineStr"/>
      <c r="G4" s="5" t="inlineStr">
        <is>
          <t>gtb111@daum.net</t>
        </is>
      </c>
      <c r="H4" s="5" t="inlineStr">
        <is>
          <t>메일 회신 이력 있음(2023.11 오스템임플란트 캐릭터 굿즈 건)</t>
        </is>
      </c>
      <c r="I4" s="5" t="inlineStr"/>
      <c r="J4" s="5" t="inlineStr">
        <is>
          <t>기업 캐릭터 굿즈 제작 중개(오스템임플란트 브랜드디자인팀 발주 → 중국 생산)</t>
        </is>
      </c>
      <c r="K4" s="5" t="inlineStr">
        <is>
          <t>약함(前 파트너 함석민을 통해 중국 생산 진행하던 거래처)</t>
        </is>
      </c>
      <c r="L4" s="5" t="inlineStr">
        <is>
          <t>오스템임플란트 같은 대기업 디자인팀 발주를 받아 생산처에 넘기는 전형적 벤더. 캐릭터 굿즈 반복 물량 기대.</t>
        </is>
      </c>
      <c r="M4" s="5" t="inlineStr">
        <is>
          <t>함석민 경유 메일(2023.11.10)</t>
        </is>
      </c>
      <c r="N4" s="8" t="inlineStr"/>
      <c r="O4" s="8" t="inlineStr"/>
      <c r="P4" s="8" t="inlineStr"/>
      <c r="Q4" s="8" t="inlineStr"/>
      <c r="R4" s="8" t="inlineStr"/>
      <c r="S4" s="8" t="inlineStr"/>
      <c r="T4" s="8" t="inlineStr"/>
    </row>
    <row r="5">
      <c r="A5" s="5" t="n">
        <v>4</v>
      </c>
      <c r="B5" s="6" t="inlineStr">
        <is>
          <t>상</t>
        </is>
      </c>
      <c r="C5" s="5" t="inlineStr">
        <is>
          <t>하나라인(hanaLine Co., Ltd.)</t>
        </is>
      </c>
      <c r="D5" s="5" t="inlineStr">
        <is>
          <t>회수 대상(前 파트너 거래처)</t>
        </is>
      </c>
      <c r="E5" s="5" t="inlineStr"/>
      <c r="F5" s="5" t="inlineStr">
        <is>
          <t>02-929-6060</t>
        </is>
      </c>
      <c r="G5" s="5" t="inlineStr"/>
      <c r="H5" s="5" t="inlineStr">
        <is>
          <t>담당: 양경호 Director / Fax 02-929-6092</t>
        </is>
      </c>
      <c r="I5" s="5" t="inlineStr">
        <is>
          <t>서울 동대문구 용두동</t>
        </is>
      </c>
      <c r="J5" s="5" t="inlineStr">
        <is>
          <t>판촉물·봉제·인쇄 벤더(추정), 세부 품목 확인 필요</t>
        </is>
      </c>
      <c r="K5" s="5" t="inlineStr">
        <is>
          <t>약함(前 파트너 함석민을 통해 중국 생산 진행하던 거래처)</t>
        </is>
      </c>
      <c r="L5" s="5" t="inlineStr">
        <is>
          <t>동대문 소재 벤더로 前 파트너 경유 물량이 있었던 곳. 회사 대표번호가 확보돼 있어 바로 전화 가능.</t>
        </is>
      </c>
      <c r="M5" s="5" t="inlineStr">
        <is>
          <t>함석민 경유 메일 서명(2024)</t>
        </is>
      </c>
      <c r="N5" s="8" t="inlineStr"/>
      <c r="O5" s="8" t="inlineStr"/>
      <c r="P5" s="8" t="inlineStr"/>
      <c r="Q5" s="8" t="inlineStr"/>
      <c r="R5" s="8" t="inlineStr"/>
      <c r="S5" s="8" t="inlineStr"/>
      <c r="T5" s="8" t="inlineStr"/>
    </row>
    <row r="6">
      <c r="A6" s="5" t="n">
        <v>5</v>
      </c>
      <c r="B6" s="9" t="inlineStr">
        <is>
          <t>중</t>
        </is>
      </c>
      <c r="C6" s="5" t="inlineStr">
        <is>
          <t>강정호(회사명 미확인, SSGP 박스 건)</t>
        </is>
      </c>
      <c r="D6" s="5" t="inlineStr">
        <is>
          <t>회수 대상(前 파트너 거래처)</t>
        </is>
      </c>
      <c r="E6" s="5" t="inlineStr"/>
      <c r="F6" s="5" t="inlineStr"/>
      <c r="G6" s="5" t="inlineStr">
        <is>
          <t>scott7015@naver.com</t>
        </is>
      </c>
      <c r="H6" s="5" t="inlineStr">
        <is>
          <t>메일 회신 이력 있음(2024.02 SSGP 패키지 박스 도면 건)</t>
        </is>
      </c>
      <c r="I6" s="5" t="inlineStr"/>
      <c r="J6" s="5" t="inlineStr">
        <is>
          <t>브랜드 패키지 박스(SSGP PK outline ai/pdf 도면 전달) / 공개정보: SSGP는 화장품이 아니라 스테인리스(SUS304) 주방 조리도구 브랜드. 국내 온라인몰(SSG.COM/신세계몰, 한샘몰, YES24, 옥션, 다나와, 체어마트, 케이트왈츠 등)에서 '독일 SSGP 스텐 조리도구'로 표기되어 판매됨(스텐 머그/드럼컵, 국자, 집게, 거품기, 채반, 티망, 셰프나이프, 계량컵 등). 국내에서 SSGP 제품을 판매하는 업체로 (주)애플박스(경기 파주시 탄현면 검산로361번길 64, 031-8071-0707, 사업자 388-87-00648)와 (주)호민상사(대구 달서구, 사업자 530-87-02140)가 확인되나 공식 수입원/브랜드 소유 회사는 미확인. 해외 도매사이트(sunsky-online)에서도 SSGP 제품이 유통되어 실제 원산지/브랜드 본사는 검색으로 확정되지 않음.</t>
        </is>
      </c>
      <c r="K6" s="5" t="inlineStr">
        <is>
          <t>약함(前 파트너 함석민을 통해 중국 생산 진행하던 거래처)</t>
        </is>
      </c>
      <c r="L6" s="5" t="inlineStr">
        <is>
          <t>패키징 박스 중국 생산 건을 넘기던 발주자. 회사명·역할(브랜드 담당자인지 중개 벤더인지) 확인 후 접근.</t>
        </is>
      </c>
      <c r="M6" s="5" t="inlineStr">
        <is>
          <t>함석민 경유 메일(2024.02.21) ; https://www.yes24.com/Product/Goods/97782001 ; https://store.hanssem.com/goods/821760 ; http://chairmart.co.kr/category/%EB%AA%85%ED%92%88%EC%A3%BC%EB%B0%A9-ssgp/1006/ ; https://katewaltz.co.kr/category/ssgp/209/ ; https://www.ssg.com/search.ssg?query=ssgp%EC%8A%A4%ED%85%90</t>
        </is>
      </c>
      <c r="N6" s="8" t="inlineStr"/>
      <c r="O6" s="8" t="inlineStr"/>
      <c r="P6" s="8" t="inlineStr"/>
      <c r="Q6" s="8" t="inlineStr"/>
      <c r="R6" s="8" t="inlineStr"/>
      <c r="S6" s="8" t="inlineStr"/>
      <c r="T6" s="8" t="inlineStr"/>
    </row>
    <row r="7">
      <c r="A7" s="5" t="n">
        <v>6</v>
      </c>
      <c r="B7" s="6" t="inlineStr">
        <is>
          <t>상</t>
        </is>
      </c>
      <c r="C7" s="5" t="inlineStr">
        <is>
          <t>바잇미((주)바잇미)</t>
        </is>
      </c>
      <c r="D7" s="5" t="inlineStr">
        <is>
          <t>OEM 온라인브랜드·패키징</t>
        </is>
      </c>
      <c r="E7" s="7" t="inlineStr">
        <is>
          <t>https://www.biteme.co.kr</t>
        </is>
      </c>
      <c r="F7" s="5" t="inlineStr">
        <is>
          <t>070-4188-1824</t>
        </is>
      </c>
      <c r="G7" s="5" t="inlineStr"/>
      <c r="H7" s="5" t="inlineStr">
        <is>
          <t>https://www.bizbite.me/ (B2B 사업자전용몰)</t>
        </is>
      </c>
      <c r="I7" s="5" t="inlineStr">
        <is>
          <t>서울 강남구</t>
        </is>
      </c>
      <c r="J7" s="5" t="inlineStr">
        <is>
          <t>반려동물 장난감·의류·용품(자체 브랜드), B2B 도매·해외판매</t>
        </is>
      </c>
      <c r="K7" s="5" t="inlineStr">
        <is>
          <t>불명(자체 공장 언급 없음, 자체 브랜드 기획·판매 중심)</t>
        </is>
      </c>
      <c r="L7" s="5" t="inlineStr">
        <is>
          <t>자체 브랜드 반려용품을 기획하고 B2B·글로벌까지 유통하는 업체로 중국 OEM 제조 파트너가 필요한 구조다.</t>
        </is>
      </c>
      <c r="M7" s="7" t="inlineStr">
        <is>
          <t>https://www.bizbite.me/</t>
        </is>
      </c>
      <c r="N7" s="8" t="inlineStr"/>
      <c r="O7" s="8" t="inlineStr"/>
      <c r="P7" s="8" t="inlineStr"/>
      <c r="Q7" s="8" t="inlineStr"/>
      <c r="R7" s="8" t="inlineStr"/>
      <c r="S7" s="8" t="inlineStr"/>
      <c r="T7" s="8" t="inlineStr"/>
    </row>
    <row r="8">
      <c r="A8" s="5" t="n">
        <v>7</v>
      </c>
      <c r="B8" s="6" t="inlineStr">
        <is>
          <t>상</t>
        </is>
      </c>
      <c r="C8" s="5" t="inlineStr">
        <is>
          <t>박스마스터</t>
        </is>
      </c>
      <c r="D8" s="5" t="inlineStr">
        <is>
          <t>OEM 온라인브랜드·패키징</t>
        </is>
      </c>
      <c r="E8" s="7" t="inlineStr">
        <is>
          <t>https://boxmaster.co.kr</t>
        </is>
      </c>
      <c r="F8" s="5" t="inlineStr">
        <is>
          <t>1877-8830</t>
        </is>
      </c>
      <c r="G8" s="5" t="inlineStr">
        <is>
          <t>service@boxmaster.co.kr</t>
        </is>
      </c>
      <c r="H8" s="5" t="inlineStr">
        <is>
          <t>https://boxmaster.co.kr/whatbm/location</t>
        </is>
      </c>
      <c r="I8" s="5" t="inlineStr">
        <is>
          <t>서울</t>
        </is>
      </c>
      <c r="J8" s="5" t="inlineStr">
        <is>
          <t>브랜드 패키지 박스 제작, 맞춤 패키지 컨설팅</t>
        </is>
      </c>
      <c r="K8" s="5" t="inlineStr">
        <is>
          <t>약함(국내 패키지 컨설팅·제조 중심, 중국 소싱망 언급 없음)</t>
        </is>
      </c>
      <c r="L8" s="5" t="inlineStr">
        <is>
          <t>패키지 컨설팅형 업체로 특수 사양 박스·부자재를 중국에서 조달할 외부 파트너가 필요할 수 있다.</t>
        </is>
      </c>
      <c r="M8" s="7" t="inlineStr">
        <is>
          <t>https://boxmaster.co.kr/whatbm/location</t>
        </is>
      </c>
      <c r="N8" s="8" t="inlineStr"/>
      <c r="O8" s="8" t="inlineStr"/>
      <c r="P8" s="8" t="inlineStr"/>
      <c r="Q8" s="8" t="inlineStr"/>
      <c r="R8" s="8" t="inlineStr"/>
      <c r="S8" s="8" t="inlineStr"/>
      <c r="T8" s="8" t="inlineStr"/>
    </row>
    <row r="9">
      <c r="A9" s="5" t="n">
        <v>8</v>
      </c>
      <c r="B9" s="6" t="inlineStr">
        <is>
          <t>상</t>
        </is>
      </c>
      <c r="C9" s="5" t="inlineStr">
        <is>
          <t>박스컴퍼니</t>
        </is>
      </c>
      <c r="D9" s="5" t="inlineStr">
        <is>
          <t>OEM 온라인브랜드·패키징</t>
        </is>
      </c>
      <c r="E9" s="7" t="inlineStr">
        <is>
          <t>https://www.boxcompany.co.kr</t>
        </is>
      </c>
      <c r="F9" s="5" t="inlineStr">
        <is>
          <t>02-452-8887</t>
        </is>
      </c>
      <c r="G9" s="5" t="inlineStr">
        <is>
          <t>boxcompany7@naver.com</t>
        </is>
      </c>
      <c r="H9" s="5" t="inlineStr">
        <is>
          <t>https://boxcompany.co.kr/contact</t>
        </is>
      </c>
      <c r="I9" s="5" t="inlineStr">
        <is>
          <t>서울</t>
        </is>
      </c>
      <c r="J9" s="5" t="inlineStr">
        <is>
          <t>소량(100개~) 커스텀 패키지 박스 제작</t>
        </is>
      </c>
      <c r="K9" s="5" t="inlineStr">
        <is>
          <t>약함(국내 소량 제작 중심, 중국 소싱망 언급 없음)</t>
        </is>
      </c>
      <c r="L9" s="5" t="inlineStr">
        <is>
          <t>소량 커스텀 박스 업체로 대량 주문이나 파우치·쇼핑백 등 특수 패키지는 중국 소싱이 필요할 수 있다.</t>
        </is>
      </c>
      <c r="M9" s="7" t="inlineStr">
        <is>
          <t>https://boxcompany.co.kr/contact</t>
        </is>
      </c>
      <c r="N9" s="8" t="inlineStr"/>
      <c r="O9" s="8" t="inlineStr"/>
      <c r="P9" s="8" t="inlineStr"/>
      <c r="Q9" s="8" t="inlineStr"/>
      <c r="R9" s="8" t="inlineStr"/>
      <c r="S9" s="8" t="inlineStr"/>
      <c r="T9" s="8" t="inlineStr"/>
    </row>
    <row r="10">
      <c r="A10" s="5" t="n">
        <v>9</v>
      </c>
      <c r="B10" s="6" t="inlineStr">
        <is>
          <t>상</t>
        </is>
      </c>
      <c r="C10" s="5" t="inlineStr">
        <is>
          <t>생활공작소((주)생활공작소)</t>
        </is>
      </c>
      <c r="D10" s="5" t="inlineStr">
        <is>
          <t>OEM 온라인브랜드·패키징</t>
        </is>
      </c>
      <c r="E10" s="7" t="inlineStr">
        <is>
          <t>https://www.saengong.com</t>
        </is>
      </c>
      <c r="F10" s="5" t="inlineStr"/>
      <c r="G10" s="5" t="inlineStr"/>
      <c r="H10" s="5" t="inlineStr">
        <is>
          <t>https://m.gmarket.co.kr/n/minishop/livingcrafts/sellerinfo / 개인 메일로 보여 제외, 대표 메일 확인 필요</t>
        </is>
      </c>
      <c r="I10" s="5" t="inlineStr">
        <is>
          <t>서울 영등포구</t>
        </is>
      </c>
      <c r="J10" s="5" t="inlineStr">
        <is>
          <t>세제·비누·제습제 등 생활용품, 잡화, 반려동물용품</t>
        </is>
      </c>
      <c r="K10" s="5" t="inlineStr">
        <is>
          <t>불명(자체 공장 언급 없음, 기획·브랜딩 중심 생활용품 브랜드)</t>
        </is>
      </c>
      <c r="L10" s="5" t="inlineStr">
        <is>
          <t>생활용품·잡화 다품종을 외주 생산으로 전개하는 대표적 온라인 브랜드로 중국 OEM 소싱 파트너 수요가 있다.</t>
        </is>
      </c>
      <c r="M10" s="7" t="inlineStr">
        <is>
          <t>https://m.gmarket.co.kr/n/minishop/livingcrafts/sellerinfo</t>
        </is>
      </c>
      <c r="N10" s="8" t="inlineStr"/>
      <c r="O10" s="8" t="inlineStr"/>
      <c r="P10" s="8" t="inlineStr"/>
      <c r="Q10" s="8" t="inlineStr"/>
      <c r="R10" s="8" t="inlineStr"/>
      <c r="S10" s="8" t="inlineStr"/>
      <c r="T10" s="8" t="inlineStr"/>
    </row>
    <row r="11">
      <c r="A11" s="5" t="n">
        <v>10</v>
      </c>
      <c r="B11" s="6" t="inlineStr">
        <is>
          <t>상</t>
        </is>
      </c>
      <c r="C11" s="5" t="inlineStr">
        <is>
          <t>패커티브</t>
        </is>
      </c>
      <c r="D11" s="5" t="inlineStr">
        <is>
          <t>OEM 온라인브랜드·패키징</t>
        </is>
      </c>
      <c r="E11" s="7" t="inlineStr">
        <is>
          <t>https://packative.com</t>
        </is>
      </c>
      <c r="F11" s="5" t="inlineStr"/>
      <c r="G11" s="5" t="inlineStr">
        <is>
          <t>hello@packative.com</t>
        </is>
      </c>
      <c r="H11" s="5" t="inlineStr">
        <is>
          <t>https://packative.com/en/custom-quotation</t>
        </is>
      </c>
      <c r="I11" s="5" t="inlineStr">
        <is>
          <t>서울 영등포구</t>
        </is>
      </c>
      <c r="J11" s="5" t="inlineStr">
        <is>
          <t>맞춤 패키지 박스 온라인 주문제작(AI 실시간 견적·3D 미리보기)</t>
        </is>
      </c>
      <c r="K11" s="5" t="inlineStr">
        <is>
          <t>약함(국내 온라인 박스 제작 플랫폼, 중국 소싱망 언급 없음)</t>
        </is>
      </c>
      <c r="L11" s="5" t="inlineStr">
        <is>
          <t>온라인 박스 제작 플랫폼으로 쇼핑백·파우치 등 품목 확장 시 중국 생산 파트너가 필요할 수 있다.</t>
        </is>
      </c>
      <c r="M11" s="7" t="inlineStr">
        <is>
          <t>https://help.packative.com/</t>
        </is>
      </c>
      <c r="N11" s="8" t="inlineStr"/>
      <c r="O11" s="8" t="inlineStr"/>
      <c r="P11" s="8" t="inlineStr"/>
      <c r="Q11" s="8" t="inlineStr"/>
      <c r="R11" s="8" t="inlineStr"/>
      <c r="S11" s="8" t="inlineStr"/>
      <c r="T11" s="8" t="inlineStr"/>
    </row>
    <row r="12">
      <c r="A12" s="5" t="n">
        <v>11</v>
      </c>
      <c r="B12" s="6" t="inlineStr">
        <is>
          <t>상</t>
        </is>
      </c>
      <c r="C12" s="5" t="inlineStr">
        <is>
          <t>페스룸((주)비엠스마일)</t>
        </is>
      </c>
      <c r="D12" s="5" t="inlineStr">
        <is>
          <t>OEM 온라인브랜드·패키징</t>
        </is>
      </c>
      <c r="E12" s="7" t="inlineStr">
        <is>
          <t>https://pethroom.com</t>
        </is>
      </c>
      <c r="F12" s="5" t="inlineStr"/>
      <c r="G12" s="5" t="inlineStr"/>
      <c r="H12" s="5" t="inlineStr">
        <is>
          <t>카카오톡채널 https://pf.kakao.com/_rVWpj / 개인 메일로 보여 제외, 대표 메일 확인 필요</t>
        </is>
      </c>
      <c r="I12" s="5" t="inlineStr">
        <is>
          <t>서울 강남구</t>
        </is>
      </c>
      <c r="J12" s="5" t="inlineStr">
        <is>
          <t>반려동물 욕실·위생용품, 의류·액세서리, 반려동물 라이프스타일 용품</t>
        </is>
      </c>
      <c r="K12" s="5" t="inlineStr">
        <is>
          <t>불명(자체 공장 언급 없음, 소규모 반려용품 제작에서 시작한 브랜드)</t>
        </is>
      </c>
      <c r="L12" s="5" t="inlineStr">
        <is>
          <t>자체 공장 없이 다품종 반려용품을 기획·판매하는 온라인 브랜드로 중국 OEM 생산 파트너 수요가 크다.</t>
        </is>
      </c>
      <c r="M12" s="7" t="inlineStr">
        <is>
          <t>https://pethroom.com/</t>
        </is>
      </c>
      <c r="N12" s="8" t="inlineStr"/>
      <c r="O12" s="8" t="inlineStr"/>
      <c r="P12" s="8" t="inlineStr"/>
      <c r="Q12" s="8" t="inlineStr"/>
      <c r="R12" s="8" t="inlineStr"/>
      <c r="S12" s="8" t="inlineStr"/>
      <c r="T12" s="8" t="inlineStr"/>
    </row>
    <row r="13">
      <c r="A13" s="5" t="n">
        <v>12</v>
      </c>
      <c r="B13" s="6" t="inlineStr">
        <is>
          <t>상</t>
        </is>
      </c>
      <c r="C13" s="5" t="inlineStr">
        <is>
          <t>하밋(HAMIT)</t>
        </is>
      </c>
      <c r="D13" s="5" t="inlineStr">
        <is>
          <t>OEM 온라인브랜드·패키징</t>
        </is>
      </c>
      <c r="E13" s="7" t="inlineStr">
        <is>
          <t>https://hamit.kr</t>
        </is>
      </c>
      <c r="F13" s="5" t="inlineStr"/>
      <c r="G13" s="5" t="inlineStr"/>
      <c r="H13" s="5" t="inlineStr">
        <is>
          <t>https://hamit.kr/</t>
        </is>
      </c>
      <c r="I13" s="5" t="inlineStr"/>
      <c r="J13" s="5" t="inlineStr">
        <is>
          <t>반려동물 하우스·가구형 휴식 공간(룩앳미 하우스), 반려동물 생활용품</t>
        </is>
      </c>
      <c r="K13" s="5" t="inlineStr">
        <is>
          <t>약함(원단·원목·철제·봉제 등 7개 외부 제조사 협업으로 생산, 자체 공장 없음)</t>
        </is>
      </c>
      <c r="L13" s="5" t="inlineStr">
        <is>
          <t>다수 외주 제조사에 의존해 제품을 만드는 디자인 중심 브랜드라 원가 절감을 위한 중국 OEM 파트너 수요가 높다.</t>
        </is>
      </c>
      <c r="M13" s="7" t="inlineStr">
        <is>
          <t>https://openads.co.kr/content/contentDetail?contsId=17861</t>
        </is>
      </c>
      <c r="N13" s="8" t="inlineStr"/>
      <c r="O13" s="8" t="inlineStr"/>
      <c r="P13" s="8" t="inlineStr"/>
      <c r="Q13" s="8" t="inlineStr"/>
      <c r="R13" s="8" t="inlineStr"/>
      <c r="S13" s="8" t="inlineStr"/>
      <c r="T13" s="8" t="inlineStr"/>
    </row>
    <row r="14">
      <c r="A14" s="5" t="n">
        <v>13</v>
      </c>
      <c r="B14" s="6" t="inlineStr">
        <is>
          <t>상</t>
        </is>
      </c>
      <c r="C14" s="5" t="inlineStr">
        <is>
          <t>(주)온오프마켓 (온오프판촉물)</t>
        </is>
      </c>
      <c r="D14" s="5" t="inlineStr">
        <is>
          <t>관공서·학교·금융·프랜차이즈 판촉 납품업체</t>
        </is>
      </c>
      <c r="E14" s="7" t="inlineStr">
        <is>
          <t>https://pr.onoffmarket.com/</t>
        </is>
      </c>
      <c r="F14" s="5" t="inlineStr">
        <is>
          <t>1544-5269</t>
        </is>
      </c>
      <c r="G14" s="5" t="inlineStr">
        <is>
          <t>onoff@onoffmarket.com</t>
        </is>
      </c>
      <c r="H14" s="5" t="inlineStr">
        <is>
          <t>https://www.onoffmarket.com/ (온오프마켓 본몰), https://store.onoffmarket.com/</t>
        </is>
      </c>
      <c r="I14" s="5" t="inlineStr">
        <is>
          <t>고양 일산동구</t>
        </is>
      </c>
      <c r="J14" s="5" t="inlineStr">
        <is>
          <t>단체 기념품·답례품·창립기념품·임직원선물·비즈니스선물, 위생용품·안전용품 (여성기업 공공기관 우선구매대상)</t>
        </is>
      </c>
      <c r="K14" s="5" t="inlineStr">
        <is>
          <t>불명(검색결과에 중국 공장/지사 언급 없음)</t>
        </is>
      </c>
      <c r="L14" s="5" t="inlineStr">
        <is>
          <t>여성기업 인증으로 공공기관 우선구매 대상에 등록된 판촉·안전·위생용품 종합 유통사로 공공 납품 물량 대응을 위한 중국 소싱 파트너 수요가 높을 것으로 판단됨.</t>
        </is>
      </c>
      <c r="M14" s="7" t="inlineStr">
        <is>
          <t>https://bizno.net/article/1058805007</t>
        </is>
      </c>
      <c r="N14" s="8" t="inlineStr"/>
      <c r="O14" s="8" t="inlineStr"/>
      <c r="P14" s="8" t="inlineStr"/>
      <c r="Q14" s="8" t="inlineStr"/>
      <c r="R14" s="8" t="inlineStr"/>
      <c r="S14" s="8" t="inlineStr"/>
      <c r="T14" s="8" t="inlineStr"/>
    </row>
    <row r="15">
      <c r="A15" s="5" t="n">
        <v>14</v>
      </c>
      <c r="B15" s="6" t="inlineStr">
        <is>
          <t>상</t>
        </is>
      </c>
      <c r="C15" s="5" t="inlineStr">
        <is>
          <t>판촉물도매백화점 (판촉물인쇄기프트 / REDLOOZ)</t>
        </is>
      </c>
      <c r="D15" s="5" t="inlineStr">
        <is>
          <t>관공서·학교·금융·프랜차이즈 판촉 납품업체</t>
        </is>
      </c>
      <c r="E15" s="7" t="inlineStr">
        <is>
          <t>https://87dept.com/</t>
        </is>
      </c>
      <c r="F15" s="5" t="inlineStr"/>
      <c r="G15" s="5" t="inlineStr">
        <is>
          <t>87@redlooz.co.kr</t>
        </is>
      </c>
      <c r="H15" s="5" t="inlineStr">
        <is>
          <t>전화번호 형식 의심(015-8504-6667), 홈페이지에서 확인 필요</t>
        </is>
      </c>
      <c r="I15" s="5" t="inlineStr">
        <is>
          <t>서울</t>
        </is>
      </c>
      <c r="J15" s="5" t="inlineStr">
        <is>
          <t>판촉물 대량구매 도매, 기념품·답례품·사은품 인쇄 제작 (차량용 디퓨저, 모자, 담요세트, 스카프, 지압기, 자개USB 등)</t>
        </is>
      </c>
      <c r="K15" s="5" t="inlineStr">
        <is>
          <t>불명(검색결과에 중국 공장/지사 언급 없음; 도매상품 중심)</t>
        </is>
      </c>
      <c r="L15" s="5" t="inlineStr">
        <is>
          <t>도매 대량구매를 전면에 내세우고 차량용품·모자·스카프 등 중국 생산 비중이 높은 범용 품목을 다수 취급해 안정적인 중국 소싱 파트너 수요가 클 것으로 판단됨.</t>
        </is>
      </c>
      <c r="M15" s="7" t="inlineStr">
        <is>
          <t>https://87dept.com/</t>
        </is>
      </c>
      <c r="N15" s="8" t="inlineStr"/>
      <c r="O15" s="8" t="inlineStr"/>
      <c r="P15" s="8" t="inlineStr"/>
      <c r="Q15" s="8" t="inlineStr"/>
      <c r="R15" s="8" t="inlineStr"/>
      <c r="S15" s="8" t="inlineStr"/>
      <c r="T15" s="8" t="inlineStr"/>
    </row>
    <row r="16">
      <c r="A16" s="5" t="n">
        <v>15</v>
      </c>
      <c r="B16" s="6" t="inlineStr">
        <is>
          <t>상</t>
        </is>
      </c>
      <c r="C16" s="5" t="inlineStr">
        <is>
          <t>(주)서울부스애드컴</t>
        </is>
      </c>
      <c r="D16" s="5" t="inlineStr">
        <is>
          <t>광고·BTL·행사대행사</t>
        </is>
      </c>
      <c r="E16" s="7" t="inlineStr">
        <is>
          <t>https://www.seouladcom.co.kr</t>
        </is>
      </c>
      <c r="F16" s="5" t="inlineStr">
        <is>
          <t>02-6959-4488</t>
        </is>
      </c>
      <c r="G16" s="5" t="inlineStr">
        <is>
          <t>seoul6004@naver.com</t>
        </is>
      </c>
      <c r="H16" s="5" t="inlineStr">
        <is>
          <t>https://seoulpr.co.kr/CONTACT</t>
        </is>
      </c>
      <c r="I16" s="5" t="inlineStr">
        <is>
          <t>서울 영등포구</t>
        </is>
      </c>
      <c r="J16" s="5" t="inlineStr">
        <is>
          <t>전시부스(목공·블럭·옥타늄·트러스), 전시기획, 컨퍼런스·이벤트 부스, 포토존, 축제·행사 기획</t>
        </is>
      </c>
      <c r="K16" s="5" t="inlineStr">
        <is>
          <t>약함(전시부스 기획·시공 전문, 중국 거점 언급 없음)</t>
        </is>
      </c>
      <c r="L16" s="5" t="inlineStr">
        <is>
          <t>전국 전시장 지정 부스 기획업체로 전시·행사 건수가 많아 부스 연출 소품과 행사 판촉물을 반복 조달하므로 중국 생산·검수·운송 일괄 파트너의 가치가 높다.</t>
        </is>
      </c>
      <c r="M16" s="7" t="inlineStr">
        <is>
          <t>https://www.seouladcom.co.kr/ ; https://www.114.co.kr/search/detail?comp_id=1778158&amp;comp_tp_cd=INT&amp;upjong_cd=839920</t>
        </is>
      </c>
      <c r="N16" s="8" t="inlineStr"/>
      <c r="O16" s="8" t="inlineStr"/>
      <c r="P16" s="8" t="inlineStr"/>
      <c r="Q16" s="8" t="inlineStr"/>
      <c r="R16" s="8" t="inlineStr"/>
      <c r="S16" s="8" t="inlineStr"/>
      <c r="T16" s="8" t="inlineStr"/>
    </row>
    <row r="17">
      <c r="A17" s="5" t="n">
        <v>16</v>
      </c>
      <c r="B17" s="6" t="inlineStr">
        <is>
          <t>상</t>
        </is>
      </c>
      <c r="C17" s="5" t="inlineStr">
        <is>
          <t>(주)조인트크리에이티브</t>
        </is>
      </c>
      <c r="D17" s="5" t="inlineStr">
        <is>
          <t>광고·BTL·행사대행사</t>
        </is>
      </c>
      <c r="E17" s="7" t="inlineStr">
        <is>
          <t>https://www.jcccom.co.kr</t>
        </is>
      </c>
      <c r="F17" s="5" t="inlineStr">
        <is>
          <t>02-3443-2631</t>
        </is>
      </c>
      <c r="G17" s="5" t="inlineStr">
        <is>
          <t>jcc2713@jcccom.co.kr</t>
        </is>
      </c>
      <c r="H17" s="5" t="inlineStr">
        <is>
          <t>https://jcccom.co.kr/sub.php (견적·상담 070-8146-3402)</t>
        </is>
      </c>
      <c r="I17" s="5" t="inlineStr">
        <is>
          <t>서울 강남구</t>
        </is>
      </c>
      <c r="J17" s="5" t="inlineStr">
        <is>
          <t>이벤트 프로모션(BTL), 팝업스토어, 전시·부스, 시즌 프로모션, 무대행사, 온·오프라인 통합 마케팅</t>
        </is>
      </c>
      <c r="K17" s="5" t="inlineStr">
        <is>
          <t>불명(자체 브랜드 제품(이어프리 마스크밴드) 제작 이력은 있으나 중국 지사·공장 언급 없음)</t>
        </is>
      </c>
      <c r="L17" s="5" t="inlineStr">
        <is>
          <t>2001년 설립된 온·오프라인 통합 에이전시로 팝업스토어·시즌 프로모션 등 BTL 행사를 상시 수행하며 자체 굿즈 기획 경험까지 있어 중국 생산 소싱 파트너와 결합 효과가 크다.</t>
        </is>
      </c>
      <c r="M17" s="7" t="inlineStr">
        <is>
          <t>https://www.jcccom.co.kr/ ; https://jcccom.co.kr/sub.php?pageState=product_btl</t>
        </is>
      </c>
      <c r="N17" s="8" t="inlineStr"/>
      <c r="O17" s="8" t="inlineStr"/>
      <c r="P17" s="8" t="inlineStr"/>
      <c r="Q17" s="8" t="inlineStr"/>
      <c r="R17" s="8" t="inlineStr"/>
      <c r="S17" s="8" t="inlineStr"/>
      <c r="T17" s="8" t="inlineStr"/>
    </row>
    <row r="18">
      <c r="A18" s="5" t="n">
        <v>17</v>
      </c>
      <c r="B18" s="6" t="inlineStr">
        <is>
          <t>상</t>
        </is>
      </c>
      <c r="C18" s="5" t="inlineStr">
        <is>
          <t>(주)크림커뮤니케이션</t>
        </is>
      </c>
      <c r="D18" s="5" t="inlineStr">
        <is>
          <t>광고·BTL·행사대행사</t>
        </is>
      </c>
      <c r="E18" s="7" t="inlineStr">
        <is>
          <t>http://www.creamcomm.co.kr</t>
        </is>
      </c>
      <c r="F18" s="5" t="inlineStr">
        <is>
          <t>02-542-2671</t>
        </is>
      </c>
      <c r="G18" s="5" t="inlineStr">
        <is>
          <t>soda@creamcomm.co.kr</t>
        </is>
      </c>
      <c r="H18" s="5" t="inlineStr">
        <is>
          <t>https://www.creamsoda.co.kr/cs/01/</t>
        </is>
      </c>
      <c r="I18" s="5" t="inlineStr">
        <is>
          <t>서울 강남구</t>
        </is>
      </c>
      <c r="J18" s="5" t="inlineStr">
        <is>
          <t>기업행사, 콘서트, 축제, 전시, 프로모션·이벤트, 사회공헌 행사, 콘텐츠·디자인</t>
        </is>
      </c>
      <c r="K18" s="5" t="inlineStr">
        <is>
          <t>약함(순수 BTL 대행사, 중국 지사·공장 언급 없음)</t>
        </is>
      </c>
      <c r="L18" s="5" t="inlineStr">
        <is>
          <t>프로모션·이벤트 사업부가 대기업 행사를 연간 수백 건 수행하는 BTL 전문 대행사로, 행사별 굿즈·기념품·판촉물을 외주 제작에 의존하므로 중국 소싱 파트너 수요가 높다.</t>
        </is>
      </c>
      <c r="M18" s="7" t="inlineStr">
        <is>
          <t>https://www.creamsoda.co.kr/story/03/v/39 ; https://www.114.co.kr/search/detail?comp_id=973606&amp;comp_tp_cd=INT&amp;upjong_cd=711000</t>
        </is>
      </c>
      <c r="N18" s="8" t="inlineStr"/>
      <c r="O18" s="8" t="inlineStr"/>
      <c r="P18" s="8" t="inlineStr"/>
      <c r="Q18" s="8" t="inlineStr"/>
      <c r="R18" s="8" t="inlineStr"/>
      <c r="S18" s="8" t="inlineStr"/>
      <c r="T18" s="8" t="inlineStr"/>
    </row>
    <row r="19">
      <c r="A19" s="5" t="n">
        <v>18</v>
      </c>
      <c r="B19" s="6" t="inlineStr">
        <is>
          <t>상</t>
        </is>
      </c>
      <c r="C19" s="5" t="inlineStr">
        <is>
          <t>가현기획</t>
        </is>
      </c>
      <c r="D19" s="5" t="inlineStr">
        <is>
          <t>광고·BTL·행사대행사</t>
        </is>
      </c>
      <c r="E19" s="7" t="inlineStr">
        <is>
          <t>https://gahyun.kr</t>
        </is>
      </c>
      <c r="F19" s="5" t="inlineStr">
        <is>
          <t>031-423-6684</t>
        </is>
      </c>
      <c r="G19" s="5" t="inlineStr">
        <is>
          <t>6684@gahyun.kr</t>
        </is>
      </c>
      <c r="H19" s="5" t="inlineStr">
        <is>
          <t>https://gahyun.kr/about/overview.asp</t>
        </is>
      </c>
      <c r="I19" s="5" t="inlineStr">
        <is>
          <t>경기 안양시 동안구</t>
        </is>
      </c>
      <c r="J19" s="5" t="inlineStr">
        <is>
          <t>전시회·박람회 부스 및 기업홍보관 설계·시공·운영, 컨벤션, 워크숍, 사내행사 기획·제작</t>
        </is>
      </c>
      <c r="K19" s="5" t="inlineStr">
        <is>
          <t>약함(국내 전시·행사 제작 대행, 중국 공장·지사 언급 없음)</t>
        </is>
      </c>
      <c r="L19" s="5" t="inlineStr">
        <is>
          <t>전시부스 시공과 컨벤션·사내행사를 함께 대행하며 세종·안양 2개 거점을 운영하는 중견 기획사로, 행사 기념품·홍보물 물량이 꾸준해 중국 생산 파트너 활용 여지가 크다.</t>
        </is>
      </c>
      <c r="M19" s="7" t="inlineStr">
        <is>
          <t>https://gahyun.kr/about/overview.asp ; https://www.saramin.co.kr/zf_user/company-info/view/csn/VVptZktVaXp3UStyOHAzeFNWUU1OQT09/company_nm/%EA%B0%80%ED%98%84%EA%B8%B0%ED%9A%8D</t>
        </is>
      </c>
      <c r="N19" s="8" t="inlineStr"/>
      <c r="O19" s="8" t="inlineStr"/>
      <c r="P19" s="8" t="inlineStr"/>
      <c r="Q19" s="8" t="inlineStr"/>
      <c r="R19" s="8" t="inlineStr"/>
      <c r="S19" s="8" t="inlineStr"/>
      <c r="T19" s="8" t="inlineStr"/>
    </row>
    <row r="20">
      <c r="A20" s="5" t="n">
        <v>19</v>
      </c>
      <c r="B20" s="6" t="inlineStr">
        <is>
          <t>상</t>
        </is>
      </c>
      <c r="C20" s="5" t="inlineStr">
        <is>
          <t>바나나팩토리</t>
        </is>
      </c>
      <c r="D20" s="5" t="inlineStr">
        <is>
          <t>소규모 판촉물·패키징 중개벤더</t>
        </is>
      </c>
      <c r="E20" s="7" t="inlineStr">
        <is>
          <t>https://bananafactory.kr</t>
        </is>
      </c>
      <c r="F20" s="5" t="inlineStr">
        <is>
          <t>1522-3852</t>
        </is>
      </c>
      <c r="G20" s="5" t="inlineStr"/>
      <c r="H20" s="5" t="inlineStr">
        <is>
          <t>https://bananafactory.kr/category/%ED%8C%90%EC%B4%89%EB%AC%BC/344/</t>
        </is>
      </c>
      <c r="I20" s="5" t="inlineStr">
        <is>
          <t>서울 동대문구 청량리동</t>
        </is>
      </c>
      <c r="J20" s="5" t="inlineStr">
        <is>
          <t>판촉물(마이보틀·텀블러·장바구니·인주함 등), 광고용품·POP소품·다이어리 소량 100개~ 주문제작</t>
        </is>
      </c>
      <c r="K20" s="5" t="inlineStr">
        <is>
          <t>불명 — 자체 공장·중국 소싱 언급 없음</t>
        </is>
      </c>
      <c r="L20" s="5" t="inlineStr">
        <is>
          <t>동대문 소재 개인사업자 판촉물 쇼핑몰로 100개 단위 소량 로고 인쇄 판촉물을 취급해 중국 OEM 소싱 협업 적합.</t>
        </is>
      </c>
      <c r="M20" s="7" t="inlineStr">
        <is>
          <t>https://bananafactory.kr/product/%ED%8C%90%EC%B4%89%EB%AC%BC-%ED%99%8D%EB%B3%B4-%EC%9D%B8%EC%87%84-%EB%A7%88%EC%9D%B4%EB%B3%B4%ED%8B%80500ml-%EC%A3%BC%EB%AC%B8%EC%A0%9C%EC%9E%91-100%EA%B0%9C/50379/</t>
        </is>
      </c>
      <c r="N20" s="8" t="inlineStr"/>
      <c r="O20" s="8" t="inlineStr"/>
      <c r="P20" s="8" t="inlineStr"/>
      <c r="Q20" s="8" t="inlineStr"/>
      <c r="R20" s="8" t="inlineStr"/>
      <c r="S20" s="8" t="inlineStr"/>
      <c r="T20" s="8" t="inlineStr"/>
    </row>
    <row r="21">
      <c r="A21" s="5" t="n">
        <v>20</v>
      </c>
      <c r="B21" s="6" t="inlineStr">
        <is>
          <t>상</t>
        </is>
      </c>
      <c r="C21" s="5" t="inlineStr">
        <is>
          <t>박스메이커스(팩토리엠)</t>
        </is>
      </c>
      <c r="D21" s="5" t="inlineStr">
        <is>
          <t>소규모 판촉물·패키징 중개벤더</t>
        </is>
      </c>
      <c r="E21" s="7" t="inlineStr">
        <is>
          <t>https://www.boxmakers.co.kr</t>
        </is>
      </c>
      <c r="F21" s="5" t="inlineStr">
        <is>
          <t>02-2263-9275</t>
        </is>
      </c>
      <c r="G21" s="5" t="inlineStr">
        <is>
          <t>make@factorym.co.kr</t>
        </is>
      </c>
      <c r="H21" s="5" t="inlineStr">
        <is>
          <t>https://www.boxmakers.co.kr/portfolio</t>
        </is>
      </c>
      <c r="I21" s="5" t="inlineStr">
        <is>
          <t>서울 중구 퇴계로(충무로 인근)</t>
        </is>
      </c>
      <c r="J21" s="5" t="inlineStr">
        <is>
          <t>브랜드 패키지 박스·골판지합지박스·손잡이박스 주문제작</t>
        </is>
      </c>
      <c r="K21" s="5" t="inlineStr">
        <is>
          <t>불명 — 자체 공장·중국 소싱 언급 없음</t>
        </is>
      </c>
      <c r="L21" s="5" t="inlineStr">
        <is>
          <t>충무로 인쇄골목 인근 개인사업자 규모의 패키지 박스 중개 벤더로 브랜드 박스 소량 주문을 외주 생산하는 타깃.</t>
        </is>
      </c>
      <c r="M21" s="7" t="inlineStr">
        <is>
          <t>https://boxmakers.co.kr/</t>
        </is>
      </c>
      <c r="N21" s="8" t="inlineStr"/>
      <c r="O21" s="8" t="inlineStr"/>
      <c r="P21" s="8" t="inlineStr"/>
      <c r="Q21" s="8" t="inlineStr"/>
      <c r="R21" s="8" t="inlineStr"/>
      <c r="S21" s="8" t="inlineStr"/>
      <c r="T21" s="8" t="inlineStr"/>
    </row>
    <row r="22">
      <c r="A22" s="5" t="n">
        <v>21</v>
      </c>
      <c r="B22" s="6" t="inlineStr">
        <is>
          <t>상</t>
        </is>
      </c>
      <c r="C22" s="5" t="inlineStr">
        <is>
          <t>신시어리</t>
        </is>
      </c>
      <c r="D22" s="5" t="inlineStr">
        <is>
          <t>소규모 판촉물·패키징 중개벤더</t>
        </is>
      </c>
      <c r="E22" s="7" t="inlineStr">
        <is>
          <t>https://sincerely.one</t>
        </is>
      </c>
      <c r="F22" s="5" t="inlineStr">
        <is>
          <t>070-7169-1306</t>
        </is>
      </c>
      <c r="G22" s="5" t="inlineStr">
        <is>
          <t>ask@sincerely.one</t>
        </is>
      </c>
      <c r="H22" s="5" t="inlineStr">
        <is>
          <t>https://sincerely.one/faq</t>
        </is>
      </c>
      <c r="I22" s="5" t="inlineStr">
        <is>
          <t>서울 성동구</t>
        </is>
      </c>
      <c r="J22" s="5" t="inlineStr">
        <is>
          <t>브랜드 굿즈(볼캡·의류·문구·리빙), 기업 판촉·선물용 굿즈</t>
        </is>
      </c>
      <c r="K22" s="5" t="inlineStr">
        <is>
          <t>불명 — 사이트에 자체 공장·중국 지사 언급 없음</t>
        </is>
      </c>
      <c r="L22" s="5" t="inlineStr">
        <is>
          <t>성수 기반 소규모 브랜드 굿즈 스튜디오로 기업 마케팅팀 대상 소량 커스텀 굿즈를 기획·중개하는 전형적 타깃.</t>
        </is>
      </c>
      <c r="M22" s="7" t="inlineStr">
        <is>
          <t>https://sincerely.one/about</t>
        </is>
      </c>
      <c r="N22" s="8" t="inlineStr"/>
      <c r="O22" s="8" t="inlineStr"/>
      <c r="P22" s="8" t="inlineStr"/>
      <c r="Q22" s="8" t="inlineStr"/>
      <c r="R22" s="8" t="inlineStr"/>
      <c r="S22" s="8" t="inlineStr"/>
      <c r="T22" s="8" t="inlineStr"/>
    </row>
    <row r="23">
      <c r="A23" s="5" t="n">
        <v>22</v>
      </c>
      <c r="B23" s="6" t="inlineStr">
        <is>
          <t>상</t>
        </is>
      </c>
      <c r="C23" s="5" t="inlineStr">
        <is>
          <t>에이블밤부</t>
        </is>
      </c>
      <c r="D23" s="5" t="inlineStr">
        <is>
          <t>소규모 판촉물·패키징 중개벤더</t>
        </is>
      </c>
      <c r="E23" s="7" t="inlineStr">
        <is>
          <t>https://able-bamboo.co.kr</t>
        </is>
      </c>
      <c r="F23" s="5" t="inlineStr">
        <is>
          <t>031-976-9487</t>
        </is>
      </c>
      <c r="G23" s="5" t="inlineStr">
        <is>
          <t>able-bamboo@able-bamboo.com</t>
        </is>
      </c>
      <c r="H23" s="5" t="inlineStr">
        <is>
          <t>https://able-bamboo.co.kr/product/list.html?cate_no=467</t>
        </is>
      </c>
      <c r="I23" s="5" t="inlineStr">
        <is>
          <t>경기 파주시</t>
        </is>
      </c>
      <c r="J23" s="5" t="inlineStr">
        <is>
          <t>기업 브랜드 굿즈, 친환경 키트·가방, 로고 장우산 등 기업 판촉물</t>
        </is>
      </c>
      <c r="K23" s="5" t="inlineStr">
        <is>
          <t>불명 — 자체 공장·중국 소싱 언급 없음</t>
        </is>
      </c>
      <c r="L23" s="5" t="inlineStr">
        <is>
          <t>파주 소재 기업 브랜드 굿즈 제작 전문 소규모 법인으로 대기업 로고 굿즈를 수주해 외주 생산하는 전형적 타깃.</t>
        </is>
      </c>
      <c r="M23" s="7" t="inlineStr">
        <is>
          <t>https://able-bamboo.co.kr/</t>
        </is>
      </c>
      <c r="N23" s="8" t="inlineStr"/>
      <c r="O23" s="8" t="inlineStr"/>
      <c r="P23" s="8" t="inlineStr"/>
      <c r="Q23" s="8" t="inlineStr"/>
      <c r="R23" s="8" t="inlineStr"/>
      <c r="S23" s="8" t="inlineStr"/>
      <c r="T23" s="8" t="inlineStr"/>
    </row>
    <row r="24">
      <c r="A24" s="5" t="n">
        <v>23</v>
      </c>
      <c r="B24" s="6" t="inlineStr">
        <is>
          <t>상</t>
        </is>
      </c>
      <c r="C24" s="5" t="inlineStr">
        <is>
          <t>엠유플랜박스</t>
        </is>
      </c>
      <c r="D24" s="5" t="inlineStr">
        <is>
          <t>소규모 판촉물·패키징 중개벤더</t>
        </is>
      </c>
      <c r="E24" s="7" t="inlineStr">
        <is>
          <t>https://muplanbox.com</t>
        </is>
      </c>
      <c r="F24" s="5" t="inlineStr">
        <is>
          <t>02-6409-6813</t>
        </is>
      </c>
      <c r="G24" s="5" t="inlineStr">
        <is>
          <t>muplanbox@naver.com</t>
        </is>
      </c>
      <c r="H24" s="5" t="inlineStr">
        <is>
          <t>https://muplanbox.com/shopinfo/company.html</t>
        </is>
      </c>
      <c r="I24" s="5" t="inlineStr">
        <is>
          <t>서울 성동구 성수동</t>
        </is>
      </c>
      <c r="J24" s="5" t="inlineStr">
        <is>
          <t>포장박스·칼라박스·싸바리박스·골판지박스 소량 제작, 브랜드 패키지</t>
        </is>
      </c>
      <c r="K24" s="5" t="inlineStr">
        <is>
          <t>불명 — 자체 공장·중국 소싱 언급 없음</t>
        </is>
      </c>
      <c r="L24" s="5" t="inlineStr">
        <is>
          <t>성수동 소규모 패키지 제작 브랜드로 소량 브랜드 박스 수요를 받아 외주 생산하는 구조라 중국 패키지 소싱 협업 여지가 큼.</t>
        </is>
      </c>
      <c r="M24" s="7" t="inlineStr">
        <is>
          <t>https://muplanbox.com/shopinfo/company.html</t>
        </is>
      </c>
      <c r="N24" s="8" t="inlineStr"/>
      <c r="O24" s="8" t="inlineStr"/>
      <c r="P24" s="8" t="inlineStr"/>
      <c r="Q24" s="8" t="inlineStr"/>
      <c r="R24" s="8" t="inlineStr"/>
      <c r="S24" s="8" t="inlineStr"/>
      <c r="T24" s="8" t="inlineStr"/>
    </row>
    <row r="25">
      <c r="A25" s="5" t="n">
        <v>24</v>
      </c>
      <c r="B25" s="6" t="inlineStr">
        <is>
          <t>상</t>
        </is>
      </c>
      <c r="C25" s="5" t="inlineStr">
        <is>
          <t>연패키지</t>
        </is>
      </c>
      <c r="D25" s="5" t="inlineStr">
        <is>
          <t>소규모 판촉물·패키징 중개벤더</t>
        </is>
      </c>
      <c r="E25" s="7" t="inlineStr">
        <is>
          <t>https://www.yeonpack.com</t>
        </is>
      </c>
      <c r="F25" s="5" t="inlineStr">
        <is>
          <t>02-6956-1918</t>
        </is>
      </c>
      <c r="G25" s="5" t="inlineStr">
        <is>
          <t>y_pack30@naver.com</t>
        </is>
      </c>
      <c r="H25" s="5" t="inlineStr">
        <is>
          <t>https://www.yeonpack.com/box</t>
        </is>
      </c>
      <c r="I25" s="5" t="inlineStr">
        <is>
          <t>서울 중구 을지로</t>
        </is>
      </c>
      <c r="J25" s="5" t="inlineStr">
        <is>
          <t>화장품 단상자·디저트박스·선물박스·친환경 패키지 주문제작</t>
        </is>
      </c>
      <c r="K25" s="5" t="inlineStr">
        <is>
          <t>불명 — 자체 공장·중국 소싱 언급 없음</t>
        </is>
      </c>
      <c r="L25" s="5" t="inlineStr">
        <is>
          <t>을지로 인쇄골목 소재 개인사업자 규모의 패키지 중개 벤더로 브랜드 박스 소량 주문을 외주 생산하는 타깃.</t>
        </is>
      </c>
      <c r="M25" s="7" t="inlineStr">
        <is>
          <t>https://www.yeonpack.com/</t>
        </is>
      </c>
      <c r="N25" s="8" t="inlineStr"/>
      <c r="O25" s="8" t="inlineStr"/>
      <c r="P25" s="8" t="inlineStr"/>
      <c r="Q25" s="8" t="inlineStr"/>
      <c r="R25" s="8" t="inlineStr"/>
      <c r="S25" s="8" t="inlineStr"/>
      <c r="T25" s="8" t="inlineStr"/>
    </row>
    <row r="26">
      <c r="A26" s="5" t="n">
        <v>25</v>
      </c>
      <c r="B26" s="6" t="inlineStr">
        <is>
          <t>상</t>
        </is>
      </c>
      <c r="C26" s="5" t="inlineStr">
        <is>
          <t>(주)더플러스 (요가몰 YOGAMALL)</t>
        </is>
      </c>
      <c r="D26" s="5" t="inlineStr">
        <is>
          <t>스포츠·헬스·재활용품 유통사/OEM브랜드</t>
        </is>
      </c>
      <c r="E26" s="7" t="inlineStr">
        <is>
          <t>https://yogamall.co.kr</t>
        </is>
      </c>
      <c r="F26" s="5" t="inlineStr">
        <is>
          <t>031-947-0808</t>
        </is>
      </c>
      <c r="G26" s="5" t="inlineStr">
        <is>
          <t>tobe@theplus.biz</t>
        </is>
      </c>
      <c r="H26" s="5" t="inlineStr">
        <is>
          <t>https://yogamall.co.kr</t>
        </is>
      </c>
      <c r="I26" s="5" t="inlineStr">
        <is>
          <t>경기 파주시</t>
        </is>
      </c>
      <c r="J26" s="5" t="inlineStr">
        <is>
          <t>요가·필라테스 매트, 소도구, 리포머, 재활운동 용품, 프랭클린메소드 교육 (요가원·스튜디오 납품)</t>
        </is>
      </c>
      <c r="K26" s="5" t="inlineStr">
        <is>
          <t>약함(요가·필라테스 전문 유통몰, 자체 공장 정보 없음)</t>
        </is>
      </c>
      <c r="L26" s="5" t="inlineStr">
        <is>
          <t>요가원·필라테스 스튜디오 대상 전문 유통몰로 매트·소도구·재활용품 PB 개발 시 외부 중국 OEM 파트너가 필요함.</t>
        </is>
      </c>
      <c r="M26" s="7" t="inlineStr">
        <is>
          <t>https://yogamall.co.kr</t>
        </is>
      </c>
      <c r="N26" s="8" t="inlineStr"/>
      <c r="O26" s="8" t="inlineStr"/>
      <c r="P26" s="8" t="inlineStr"/>
      <c r="Q26" s="8" t="inlineStr"/>
      <c r="R26" s="8" t="inlineStr"/>
      <c r="S26" s="8" t="inlineStr"/>
      <c r="T26" s="8" t="inlineStr"/>
    </row>
    <row r="27">
      <c r="A27" s="5" t="n">
        <v>26</v>
      </c>
      <c r="B27" s="6" t="inlineStr">
        <is>
          <t>상</t>
        </is>
      </c>
      <c r="C27" s="5" t="inlineStr">
        <is>
          <t>(주)브라이즈 (에이더 AIDER)</t>
        </is>
      </c>
      <c r="D27" s="5" t="inlineStr">
        <is>
          <t>스포츠·헬스·재활용품 유통사/OEM브랜드</t>
        </is>
      </c>
      <c r="E27" s="7" t="inlineStr">
        <is>
          <t>https://aidershop.com</t>
        </is>
      </c>
      <c r="F27" s="5" t="inlineStr">
        <is>
          <t>1566-3175</t>
        </is>
      </c>
      <c r="G27" s="5" t="inlineStr">
        <is>
          <t>aider@bryze.kr</t>
        </is>
      </c>
      <c r="H27" s="5" t="inlineStr">
        <is>
          <t>https://m.aidershop.com/article/qa/6/</t>
        </is>
      </c>
      <c r="I27" s="5" t="inlineStr">
        <is>
          <t>서울 금천구</t>
        </is>
      </c>
      <c r="J27" s="5" t="inlineStr">
        <is>
          <t>무릎·손목·팔꿈치·발목 보호대, 스포츠 테이핑 등 관절 보호대 전문 브랜드 (물리치료사 개발)</t>
        </is>
      </c>
      <c r="K27" s="5" t="inlineStr">
        <is>
          <t>불명(브랜드 기획·개발 중심, 자체 공장 여부 미공개)</t>
        </is>
      </c>
      <c r="L27" s="5" t="inlineStr">
        <is>
          <t>보호대 전문 온라인 브랜드로 물리치료사 기획 제품을 외주 생산하는 구조로 보여 보호대 OEM 제조 파트너와의 협업 적합성이 매우 높음.</t>
        </is>
      </c>
      <c r="M27" s="7" t="inlineStr">
        <is>
          <t>https://aidershop.com</t>
        </is>
      </c>
      <c r="N27" s="8" t="inlineStr"/>
      <c r="O27" s="8" t="inlineStr"/>
      <c r="P27" s="8" t="inlineStr"/>
      <c r="Q27" s="8" t="inlineStr"/>
      <c r="R27" s="8" t="inlineStr"/>
      <c r="S27" s="8" t="inlineStr"/>
      <c r="T27" s="8" t="inlineStr"/>
    </row>
    <row r="28">
      <c r="A28" s="5" t="n">
        <v>27</v>
      </c>
      <c r="B28" s="6" t="inlineStr">
        <is>
          <t>상</t>
        </is>
      </c>
      <c r="C28" s="5" t="inlineStr">
        <is>
          <t>(주)앳플리 (ATFLEE)</t>
        </is>
      </c>
      <c r="D28" s="5" t="inlineStr">
        <is>
          <t>스포츠·헬스·재활용품 유통사/OEM브랜드</t>
        </is>
      </c>
      <c r="E28" s="7" t="inlineStr">
        <is>
          <t>https://atflee.com</t>
        </is>
      </c>
      <c r="F28" s="5" t="inlineStr">
        <is>
          <t>02-3445-7877</t>
        </is>
      </c>
      <c r="G28" s="5" t="inlineStr">
        <is>
          <t>sales@atflee.com</t>
        </is>
      </c>
      <c r="H28" s="5" t="inlineStr">
        <is>
          <t>https://atflee.com/shopinfo/guide.html</t>
        </is>
      </c>
      <c r="I28" s="5" t="inlineStr">
        <is>
          <t>서울 강남구</t>
        </is>
      </c>
      <c r="J28" s="5" t="inlineStr">
        <is>
          <t>요가매트·필라테스매트·스마트 체성분 체중계·홈트레이닝 용품 (자체 브랜드 앳플리, 무신사·삼성 SmartThings 입점)</t>
        </is>
      </c>
      <c r="K28" s="5" t="inlineStr">
        <is>
          <t>약함(디자인·앱 중심 온라인 브랜드, 자체 공장 정보 없음)</t>
        </is>
      </c>
      <c r="L28" s="5" t="inlineStr">
        <is>
          <t>자체 공장 없이 브랜드·앱 중심으로 요가매트 등 홈트 용품을 운영하는 전형적인 OEM 브랜드로 중국 소싱 파트너 수요가 큼.</t>
        </is>
      </c>
      <c r="M28" s="7" t="inlineStr">
        <is>
          <t>https://atflee.com/shopinfo/guide.html</t>
        </is>
      </c>
      <c r="N28" s="8" t="inlineStr"/>
      <c r="O28" s="8" t="inlineStr"/>
      <c r="P28" s="8" t="inlineStr"/>
      <c r="Q28" s="8" t="inlineStr"/>
      <c r="R28" s="8" t="inlineStr"/>
      <c r="S28" s="8" t="inlineStr"/>
      <c r="T28" s="8" t="inlineStr"/>
    </row>
    <row r="29">
      <c r="A29" s="5" t="n">
        <v>28</v>
      </c>
      <c r="B29" s="6" t="inlineStr">
        <is>
          <t>상</t>
        </is>
      </c>
      <c r="C29" s="5" t="inlineStr">
        <is>
          <t>(주)우성레포츠 (아리프 ALEAF)</t>
        </is>
      </c>
      <c r="D29" s="5" t="inlineStr">
        <is>
          <t>스포츠·헬스·재활용품 유통사/OEM브랜드</t>
        </is>
      </c>
      <c r="E29" s="7" t="inlineStr">
        <is>
          <t>https://aleafsports.com</t>
        </is>
      </c>
      <c r="F29" s="5" t="inlineStr">
        <is>
          <t>031-527-2338</t>
        </is>
      </c>
      <c r="G29" s="5" t="inlineStr">
        <is>
          <t>aleaf@wsleports.com</t>
        </is>
      </c>
      <c r="H29" s="5" t="inlineStr">
        <is>
          <t>https://aleafsports.com/faq</t>
        </is>
      </c>
      <c r="I29" s="5" t="inlineStr">
        <is>
          <t>경기 남양주시 오남읍</t>
        </is>
      </c>
      <c r="J29" s="5" t="inlineStr">
        <is>
          <t>요가매트·폼롤러·짐볼·허리보호대·웨이트/홈트 운동기구·키즈스포츠 용품 (자체 브랜드 아리프)</t>
        </is>
      </c>
      <c r="K29" s="5" t="inlineStr">
        <is>
          <t>불명(온라인 브랜드 운영, 자체 공장 정보 미공개)</t>
        </is>
      </c>
      <c r="L29" s="5" t="inlineStr">
        <is>
          <t>요가·필라테스·홈트 소도구를 자체 브랜드로 온라인 판매하며 허리보호대 등 보호대 라인까지 취급해 중국 OEM 소싱 파트너가 필요할 가능성이 높음.</t>
        </is>
      </c>
      <c r="M29" s="7" t="inlineStr">
        <is>
          <t>https://aleafsports.com/Privacy</t>
        </is>
      </c>
      <c r="N29" s="8" t="inlineStr"/>
      <c r="O29" s="8" t="inlineStr"/>
      <c r="P29" s="8" t="inlineStr"/>
      <c r="Q29" s="8" t="inlineStr"/>
      <c r="R29" s="8" t="inlineStr"/>
      <c r="S29" s="8" t="inlineStr"/>
      <c r="T29" s="8" t="inlineStr"/>
    </row>
    <row r="30">
      <c r="A30" s="5" t="n">
        <v>29</v>
      </c>
      <c r="B30" s="6" t="inlineStr">
        <is>
          <t>상</t>
        </is>
      </c>
      <c r="C30" s="5" t="inlineStr">
        <is>
          <t>(주)코리아스포츠 (아이워너 IWANNA)</t>
        </is>
      </c>
      <c r="D30" s="5" t="inlineStr">
        <is>
          <t>스포츠·헬스·재활용품 유통사/OEM브랜드</t>
        </is>
      </c>
      <c r="E30" s="7" t="inlineStr">
        <is>
          <t>https://korspo.com</t>
        </is>
      </c>
      <c r="F30" s="5" t="inlineStr">
        <is>
          <t>031-573-3313</t>
        </is>
      </c>
      <c r="G30" s="5" t="inlineStr">
        <is>
          <t>k-korspo@naver.com</t>
        </is>
      </c>
      <c r="H30" s="5" t="inlineStr">
        <is>
          <t>https://www.korea-sports.co.kr/contact</t>
        </is>
      </c>
      <c r="I30" s="5" t="inlineStr">
        <is>
          <t>경기 남양주시 오남읍</t>
        </is>
      </c>
      <c r="J30" s="5" t="inlineStr">
        <is>
          <t>폼롤러(EVA/EPP)·마사지볼·마사지스틱·무릎보호대·운동밴드·헬스소도구 (자체 브랜드 아이워너, 프로-스펙스 라이선스)</t>
        </is>
      </c>
      <c r="K30" s="5" t="inlineStr">
        <is>
          <t>불명(자체 브랜드 제조·유통사이나 국내/중국 공장 보유 여부 사이트 확인 불가)</t>
        </is>
      </c>
      <c r="L30" s="5" t="inlineStr">
        <is>
          <t>폼롤러·마사지볼·보호대 등 수십 종의 자체 브랜드 품목을 운영하는 종합 헬스소도구 유통사로 품목 확장·원가 절감을 위한 중국 OEM 파트너 수요가 큼.</t>
        </is>
      </c>
      <c r="M30" s="7" t="inlineStr">
        <is>
          <t>https://korspo.com/shopinfo/company.html</t>
        </is>
      </c>
      <c r="N30" s="8" t="inlineStr"/>
      <c r="O30" s="8" t="inlineStr"/>
      <c r="P30" s="8" t="inlineStr"/>
      <c r="Q30" s="8" t="inlineStr"/>
      <c r="R30" s="8" t="inlineStr"/>
      <c r="S30" s="8" t="inlineStr"/>
      <c r="T30" s="8" t="inlineStr"/>
    </row>
    <row r="31">
      <c r="A31" s="5" t="n">
        <v>30</v>
      </c>
      <c r="B31" s="6" t="inlineStr">
        <is>
          <t>상</t>
        </is>
      </c>
      <c r="C31" s="5" t="inlineStr">
        <is>
          <t>SJ코리아</t>
        </is>
      </c>
      <c r="D31" s="5" t="inlineStr">
        <is>
          <t>스포츠·헬스·재활용품 유통사/OEM브랜드</t>
        </is>
      </c>
      <c r="E31" s="7" t="inlineStr">
        <is>
          <t>http://www.sjkorea.co.kr</t>
        </is>
      </c>
      <c r="F31" s="5" t="inlineStr"/>
      <c r="G31" s="5" t="inlineStr"/>
      <c r="H31" s="5" t="inlineStr">
        <is>
          <t>http://www.sjkorea.co.kr</t>
        </is>
      </c>
      <c r="I31" s="5" t="inlineStr"/>
      <c r="J31" s="5" t="inlineStr">
        <is>
          <t>정형외과용 소모품(물리치료/통증치료, 캐스트/스프린트, 브레이스·보호대)</t>
        </is>
      </c>
      <c r="K31" s="5" t="inlineStr">
        <is>
          <t>불명(정형외과 소모품 유통, 제조 정보 미확인)</t>
        </is>
      </c>
      <c r="L31" s="5" t="inlineStr">
        <is>
          <t>정형외과·물리치료실 대상 브레이스·보호대 소모품 전문 유통사로 의료용 보호대 OEM 공급 파트너 수요가 직접적임.</t>
        </is>
      </c>
      <c r="M31" s="7" t="inlineStr">
        <is>
          <t>http://www.sjkorea.co.kr/shop/goods/goods_list.php?category=009003006</t>
        </is>
      </c>
      <c r="N31" s="8" t="inlineStr"/>
      <c r="O31" s="8" t="inlineStr"/>
      <c r="P31" s="8" t="inlineStr"/>
      <c r="Q31" s="8" t="inlineStr"/>
      <c r="R31" s="8" t="inlineStr"/>
      <c r="S31" s="8" t="inlineStr"/>
      <c r="T31" s="8" t="inlineStr"/>
    </row>
    <row r="32">
      <c r="A32" s="5" t="n">
        <v>31</v>
      </c>
      <c r="B32" s="6" t="inlineStr">
        <is>
          <t>상</t>
        </is>
      </c>
      <c r="C32" s="5" t="inlineStr">
        <is>
          <t>메디브랜드(병원마켓) / (주)이을커뮤니케이션아임</t>
        </is>
      </c>
      <c r="D32" s="5" t="inlineStr">
        <is>
          <t>제약·의료·치과 판촉물 벤더</t>
        </is>
      </c>
      <c r="E32" s="7" t="inlineStr">
        <is>
          <t>https://www.medibrand.co.kr/</t>
        </is>
      </c>
      <c r="F32" s="5" t="inlineStr">
        <is>
          <t>1666-6973 / 070-4150-1731</t>
        </is>
      </c>
      <c r="G32" s="5" t="inlineStr">
        <is>
          <t>medibrand@naver.com</t>
        </is>
      </c>
      <c r="H32" s="5" t="inlineStr">
        <is>
          <t>https://www.medibrand.co.kr/service/cooperation.php</t>
        </is>
      </c>
      <c r="I32" s="5" t="inlineStr">
        <is>
          <t>서울 서초구</t>
        </is>
      </c>
      <c r="J32" s="5" t="inlineStr">
        <is>
          <t>병·의원/치과 개원패키지, 판촉물, 명함, 쇼핑백, 캘린더, 의료진 포스터</t>
        </is>
      </c>
      <c r="K32" s="5" t="inlineStr">
        <is>
          <t>불명 (자체 중국공장·지사 언급 없음, 병원 디자인·인쇄 위주)</t>
        </is>
      </c>
      <c r="L32" s="5" t="inlineStr">
        <is>
          <t>900개 이상 병·의원 런칭 실적의 병원·치과 전문 디자인마켓으로 판촉물·개원패키지를 취급해 중국 생산 굿즈 공급 협업 여지가 큼.</t>
        </is>
      </c>
      <c r="M32" s="7" t="inlineStr">
        <is>
          <t>https://www.medibrand.co.kr/service/cooperation.php</t>
        </is>
      </c>
      <c r="N32" s="8" t="inlineStr"/>
      <c r="O32" s="8" t="inlineStr"/>
      <c r="P32" s="8" t="inlineStr"/>
      <c r="Q32" s="8" t="inlineStr"/>
      <c r="R32" s="8" t="inlineStr"/>
      <c r="S32" s="8" t="inlineStr"/>
      <c r="T32" s="8" t="inlineStr"/>
    </row>
    <row r="33">
      <c r="A33" s="5" t="n">
        <v>32</v>
      </c>
      <c r="B33" s="6" t="inlineStr">
        <is>
          <t>상</t>
        </is>
      </c>
      <c r="C33" s="5" t="inlineStr">
        <is>
          <t>하이어기프트</t>
        </is>
      </c>
      <c r="D33" s="5" t="inlineStr">
        <is>
          <t>제약·의료·치과 판촉물 벤더</t>
        </is>
      </c>
      <c r="E33" s="7" t="inlineStr">
        <is>
          <t>https://cases.higher-gift.com/</t>
        </is>
      </c>
      <c r="F33" s="5" t="inlineStr">
        <is>
          <t>1533-4855</t>
        </is>
      </c>
      <c r="G33" s="5" t="inlineStr">
        <is>
          <t>highergift@naver.com</t>
        </is>
      </c>
      <c r="H33" s="5" t="inlineStr">
        <is>
          <t>https://cases.higher-gift.com/contact/</t>
        </is>
      </c>
      <c r="I33" s="5" t="inlineStr"/>
      <c r="J33" s="5" t="inlineStr">
        <is>
          <t>기업·관공서·학교·병원·단체 판촉물·기념품 (제품 선정~인쇄·포장·납품)</t>
        </is>
      </c>
      <c r="K33" s="5" t="inlineStr">
        <is>
          <t>불명 (자체 공장·중국지사 언급 없음)</t>
        </is>
      </c>
      <c r="L33" s="5" t="inlineStr">
        <is>
          <t>병원 판촉물 납품사례를 별도 사이트로 운영하는 소규모 중개 벤더로 자체 공장이 없어 중국 생산 파트너 수요가 있을 것으로 판단됨.</t>
        </is>
      </c>
      <c r="M33" s="7" t="inlineStr">
        <is>
          <t>https://cases.higher-gift.com/contact/</t>
        </is>
      </c>
      <c r="N33" s="8" t="inlineStr"/>
      <c r="O33" s="8" t="inlineStr"/>
      <c r="P33" s="8" t="inlineStr"/>
      <c r="Q33" s="8" t="inlineStr"/>
      <c r="R33" s="8" t="inlineStr"/>
      <c r="S33" s="8" t="inlineStr"/>
      <c r="T33" s="8" t="inlineStr"/>
    </row>
    <row r="34">
      <c r="A34" s="5" t="n">
        <v>33</v>
      </c>
      <c r="B34" s="6" t="inlineStr">
        <is>
          <t>상</t>
        </is>
      </c>
      <c r="C34" s="5" t="inlineStr">
        <is>
          <t>매일매일디자인</t>
        </is>
      </c>
      <c r="D34" s="5" t="inlineStr">
        <is>
          <t>캐릭터·IP·팬굿즈 기획사</t>
        </is>
      </c>
      <c r="E34" s="7" t="inlineStr">
        <is>
          <t>https://www.elmogoon.com/</t>
        </is>
      </c>
      <c r="F34" s="5" t="inlineStr"/>
      <c r="G34" s="5" t="inlineStr">
        <is>
          <t>elshop@naver.com</t>
        </is>
      </c>
      <c r="H34" s="5" t="inlineStr">
        <is>
          <t>https://www.elmogoon.com/ (홈페이지 문의)</t>
        </is>
      </c>
      <c r="I34" s="5" t="inlineStr"/>
      <c r="J34" s="5" t="inlineStr">
        <is>
          <t>IP 캐릭터 굿즈 기획·제작, 굿즈·패키지 OEM, 브랜딩</t>
        </is>
      </c>
      <c r="K34" s="5" t="inlineStr">
        <is>
          <t>불명(디자인 스튜디오, 생산 거점 언급 없음)</t>
        </is>
      </c>
      <c r="L34" s="5" t="inlineStr">
        <is>
          <t>IP 캐릭터 굿즈와 패키지 OEM을 기획하는 소규모 디자인 스튜디오로 제조는 전량 외주라 중국 소싱 파트너 필요성이 크다.</t>
        </is>
      </c>
      <c r="M34" s="7" t="inlineStr">
        <is>
          <t>https://www.elmogoon.com/ ; https://www.facebook.com/elmogoon0980/</t>
        </is>
      </c>
      <c r="N34" s="8" t="inlineStr"/>
      <c r="O34" s="8" t="inlineStr"/>
      <c r="P34" s="8" t="inlineStr"/>
      <c r="Q34" s="8" t="inlineStr"/>
      <c r="R34" s="8" t="inlineStr"/>
      <c r="S34" s="8" t="inlineStr"/>
      <c r="T34" s="8" t="inlineStr"/>
    </row>
    <row r="35">
      <c r="A35" s="5" t="n">
        <v>34</v>
      </c>
      <c r="B35" s="6" t="inlineStr">
        <is>
          <t>상</t>
        </is>
      </c>
      <c r="C35" s="5" t="inlineStr">
        <is>
          <t>엑스디컨스트럭트(XDT)</t>
        </is>
      </c>
      <c r="D35" s="5" t="inlineStr">
        <is>
          <t>캐릭터·IP·팬굿즈 기획사</t>
        </is>
      </c>
      <c r="E35" s="7" t="inlineStr">
        <is>
          <t>https://xdeconstruct.com/</t>
        </is>
      </c>
      <c r="F35" s="5" t="inlineStr"/>
      <c r="G35" s="5" t="inlineStr">
        <is>
          <t>xd@xdeconstruct.com</t>
        </is>
      </c>
      <c r="H35" s="5" t="inlineStr">
        <is>
          <t>https://xdeconstruct.com/ (온라인 제작 문의)</t>
        </is>
      </c>
      <c r="I35" s="5" t="inlineStr">
        <is>
          <t>서울 중구</t>
        </is>
      </c>
      <c r="J35" s="5" t="inlineStr">
        <is>
          <t>아이돌·브랜드 굿즈 OEM/ODM(금속 키링, 주얼리, 헤어 액세서리, 패키지), 소량·대량 제작</t>
        </is>
      </c>
      <c r="K35" s="5" t="inlineStr">
        <is>
          <t>불명(기획·샘플·생산·검수·납품 일괄 진행 표기, 자체 공장·중국 거점 언급 없음)</t>
        </is>
      </c>
      <c r="L35" s="5" t="inlineStr">
        <is>
          <t>아이돌 MD용 금속 키링·주얼리 등 중국 생산 의존도가 높은 품목을 OEM/ODM으로 기획하는 소규모 업체라 안정적인 중국 소싱 파트너가 유용하다.</t>
        </is>
      </c>
      <c r="M35" s="7" t="inlineStr">
        <is>
          <t>https://m.xdeconstruct.com/product/list_thumb.html?cate_no=42 ; https://xdeconstruct.com/</t>
        </is>
      </c>
      <c r="N35" s="8" t="inlineStr"/>
      <c r="O35" s="8" t="inlineStr"/>
      <c r="P35" s="8" t="inlineStr"/>
      <c r="Q35" s="8" t="inlineStr"/>
      <c r="R35" s="8" t="inlineStr"/>
      <c r="S35" s="8" t="inlineStr"/>
      <c r="T35" s="8" t="inlineStr"/>
    </row>
    <row r="36">
      <c r="A36" s="5" t="n">
        <v>35</v>
      </c>
      <c r="B36" s="6" t="inlineStr">
        <is>
          <t>상</t>
        </is>
      </c>
      <c r="C36" s="5" t="inlineStr">
        <is>
          <t>클로스업(ClawsUp)</t>
        </is>
      </c>
      <c r="D36" s="5" t="inlineStr">
        <is>
          <t>캐릭터·IP·팬굿즈 기획사</t>
        </is>
      </c>
      <c r="E36" s="7" t="inlineStr">
        <is>
          <t>https://clawsup.com/</t>
        </is>
      </c>
      <c r="F36" s="5" t="inlineStr"/>
      <c r="G36" s="5" t="inlineStr"/>
      <c r="H36" s="5" t="inlineStr">
        <is>
          <t>https://clawsup.com/ (홈페이지 제작 문의)</t>
        </is>
      </c>
      <c r="I36" s="5" t="inlineStr">
        <is>
          <t>경기 부천시 소사구</t>
        </is>
      </c>
      <c r="J36" s="5" t="inlineStr">
        <is>
          <t>캐릭터 토이 디자인, ABS/PVC 사출 피규어 양산, 소프트비닐·폴리레진 아트토이, 실리콘·러버 캐릭터 굿즈</t>
        </is>
      </c>
      <c r="K36" s="5" t="inlineStr">
        <is>
          <t>불명(소량~1천개 이상 대량 생산 가능 표기, 금형·양산 거점 미공개)</t>
        </is>
      </c>
      <c r="L36" s="5" t="inlineStr">
        <is>
          <t>기업·프로스포츠·웹툰·지자체 캐릭터의 사출 피규어를 디자인해 양산하는 토이 디자인 업체로 금형·사출 양산은 중국 공장 의존도가 높아 소싱 파트너 수요가 크다.</t>
        </is>
      </c>
      <c r="M36" s="7" t="inlineStr">
        <is>
          <t>https://clawsup.com/ ; https://www.emis.com/php/company-profile/KR/Clawsup_Inc_en_23408343.html</t>
        </is>
      </c>
      <c r="N36" s="8" t="inlineStr"/>
      <c r="O36" s="8" t="inlineStr"/>
      <c r="P36" s="8" t="inlineStr"/>
      <c r="Q36" s="8" t="inlineStr"/>
      <c r="R36" s="8" t="inlineStr"/>
      <c r="S36" s="8" t="inlineStr"/>
      <c r="T36" s="8" t="inlineStr"/>
    </row>
    <row r="37">
      <c r="A37" s="5" t="n">
        <v>36</v>
      </c>
      <c r="B37" s="6" t="inlineStr">
        <is>
          <t>상</t>
        </is>
      </c>
      <c r="C37" s="5" t="inlineStr">
        <is>
          <t>허쉬위쉬(HUSHWISH)</t>
        </is>
      </c>
      <c r="D37" s="5" t="inlineStr">
        <is>
          <t>캐릭터·IP·팬굿즈 기획사</t>
        </is>
      </c>
      <c r="E37" s="7" t="inlineStr">
        <is>
          <t>https://www.hushwish.com/</t>
        </is>
      </c>
      <c r="F37" s="5" t="inlineStr"/>
      <c r="G37" s="5" t="inlineStr">
        <is>
          <t>hello@hushwish.com</t>
        </is>
      </c>
      <c r="H37" s="5" t="inlineStr">
        <is>
          <t>https://www.hushwish.com/contact_form/ (프로젝트 의뢰·제작 문의, 회사 계정 이메일만 접수)</t>
        </is>
      </c>
      <c r="I37" s="5" t="inlineStr"/>
      <c r="J37" s="5" t="inlineStr">
        <is>
          <t>캐릭터 개발·라이선싱, 기업 캐릭터 굿즈 기획, 이모티콘·애니메이션 콘텐츠</t>
        </is>
      </c>
      <c r="K37" s="5" t="inlineStr">
        <is>
          <t>불명(디자인·라이선싱 스튜디오로 생산 거점 언급 없음)</t>
        </is>
      </c>
      <c r="L37" s="5" t="inlineStr">
        <is>
          <t>자체 라이선싱 캐릭터와 기업 캐릭터 굿즈를 기획하지만 제조 기능이 없는 디자인 스튜디오라 상품화 단계에서 중국 소싱 파트너가 필요하다.</t>
        </is>
      </c>
      <c r="M37" s="7" t="inlineStr">
        <is>
          <t>https://www.hushwish.com/contact_form/ ; https://www.hushwish.com/post_character/hushwish_licensing/</t>
        </is>
      </c>
      <c r="N37" s="8" t="inlineStr"/>
      <c r="O37" s="8" t="inlineStr"/>
      <c r="P37" s="8" t="inlineStr"/>
      <c r="Q37" s="8" t="inlineStr"/>
      <c r="R37" s="8" t="inlineStr"/>
      <c r="S37" s="8" t="inlineStr"/>
      <c r="T37" s="8" t="inlineStr"/>
    </row>
    <row r="38">
      <c r="A38" s="5" t="n">
        <v>37</v>
      </c>
      <c r="B38" s="6" t="inlineStr">
        <is>
          <t>상</t>
        </is>
      </c>
      <c r="C38" s="5" t="inlineStr">
        <is>
          <t>굿픽 스튜디오(GOODPIC STUDIO)</t>
        </is>
      </c>
      <c r="D38" s="5" t="inlineStr">
        <is>
          <t>캐릭터·IP·팬굿즈 기획사 · 판촉물·굿즈 제작대행사</t>
        </is>
      </c>
      <c r="E38" s="7" t="inlineStr">
        <is>
          <t>https://goodpicstudio.com/</t>
        </is>
      </c>
      <c r="F38" s="5" t="inlineStr">
        <is>
          <t>070-8244-9005</t>
        </is>
      </c>
      <c r="G38" s="5" t="inlineStr">
        <is>
          <t>contact@goodpic.co.kr</t>
        </is>
      </c>
      <c r="H38" s="5" t="inlineStr">
        <is>
          <t>https://goodpicstudio.com/contact/</t>
        </is>
      </c>
      <c r="I38" s="5" t="inlineStr"/>
      <c r="J38" s="5" t="inlineStr">
        <is>
          <t>굿즈 OEM/ODM 제작 전반(캐릭터·브랜드 굿즈) / 굿즈 OEM/ODM 기획·제작</t>
        </is>
      </c>
      <c r="K38" s="5" t="inlineStr">
        <is>
          <t>불명(OEM&amp;ODM 전문 표기만 있고 생산 거점 언급 없음)</t>
        </is>
      </c>
      <c r="L38" s="5" t="inlineStr">
        <is>
          <t>OEM/ODM 굿즈 기획을 표방하는 소규모 스튜디오로 생산은 외부 공장에 의존하는 구조라 중국 소싱 파트너 제안에 열려 있을 가능성이 높다. / 소규모 OEM/ODM 굿즈 스튜디오로 자체 제조설비 언급이 없어 중국 생산 파트너 의존도가 높을 것으로 보인다.</t>
        </is>
      </c>
      <c r="M38" s="7" t="inlineStr">
        <is>
          <t>https://goodpicstudio.com/ ; https://goodpicstudio.com/contact/</t>
        </is>
      </c>
      <c r="N38" s="8" t="inlineStr"/>
      <c r="O38" s="8" t="inlineStr"/>
      <c r="P38" s="8" t="inlineStr"/>
      <c r="Q38" s="8" t="inlineStr"/>
      <c r="R38" s="8" t="inlineStr"/>
      <c r="S38" s="8" t="inlineStr"/>
      <c r="T38" s="8" t="inlineStr"/>
    </row>
    <row r="39">
      <c r="A39" s="5" t="n">
        <v>38</v>
      </c>
      <c r="B39" s="6" t="inlineStr">
        <is>
          <t>상</t>
        </is>
      </c>
      <c r="C39" s="5" t="inlineStr">
        <is>
          <t>다이버(DiiVER)</t>
        </is>
      </c>
      <c r="D39" s="5" t="inlineStr">
        <is>
          <t>캐릭터·IP·팬굿즈 기획사 · 판촉물·굿즈 제작대행사</t>
        </is>
      </c>
      <c r="E39" s="7" t="inlineStr">
        <is>
          <t>https://diiver.kr/</t>
        </is>
      </c>
      <c r="F39" s="5" t="inlineStr">
        <is>
          <t>02-466-0507</t>
        </is>
      </c>
      <c r="G39" s="5" t="inlineStr">
        <is>
          <t>ask@diiver.kr</t>
        </is>
      </c>
      <c r="H39" s="5" t="inlineStr">
        <is>
          <t>https://diiver.kr/ (채팅 상담으로 견적 문의), https://diiver.kr/partner (파트너 입점)</t>
        </is>
      </c>
      <c r="I39" s="5" t="inlineStr">
        <is>
          <t>서울 서대문구</t>
        </is>
      </c>
      <c r="J39" s="5" t="inlineStr">
        <is>
          <t>브랜드·캐릭터 굿즈 기획, 웰컴키트, 에코굿즈, 플레잉카드, 패키지·브랜딩 / 브랜드 굿즈 제작, 웰컴키트, 굿즈 스토어 운영대행</t>
        </is>
      </c>
      <c r="K39" s="5" t="inlineStr">
        <is>
          <t>약함(경기 고양 '다이버 팩토리' 국내 생산 거점 보유, 중국 거점 언급 없음)</t>
        </is>
      </c>
      <c r="L39" s="5" t="inlineStr">
        <is>
          <t>국내 팩토리로 소량 제작은 자체 처리하지만 대량 IP 굿즈나 공산품 품목은 중국 소싱이 필요할 수 있어 보조 파트너로 접근 가능하다. / 브랜딩·디자인 중심의 굿즈 에이전시로 제조는 외주 구조라 중국 생산 파트너 확보 수요가 크다.</t>
        </is>
      </c>
      <c r="M39" s="7" t="inlineStr">
        <is>
          <t>https://diiver.kr/ ; https://www.diiver.kr/service</t>
        </is>
      </c>
      <c r="N39" s="8" t="inlineStr"/>
      <c r="O39" s="8" t="inlineStr"/>
      <c r="P39" s="8" t="inlineStr"/>
      <c r="Q39" s="8" t="inlineStr"/>
      <c r="R39" s="8" t="inlineStr"/>
      <c r="S39" s="8" t="inlineStr"/>
      <c r="T39" s="8" t="inlineStr"/>
    </row>
    <row r="40">
      <c r="A40" s="5" t="n">
        <v>39</v>
      </c>
      <c r="B40" s="6" t="inlineStr">
        <is>
          <t>상</t>
        </is>
      </c>
      <c r="C40" s="5" t="inlineStr">
        <is>
          <t>만상사</t>
        </is>
      </c>
      <c r="D40" s="5" t="inlineStr">
        <is>
          <t>캐릭터·IP·팬굿즈 기획사 · 판촉물·굿즈 제작대행사</t>
        </is>
      </c>
      <c r="E40" s="7" t="inlineStr">
        <is>
          <t>https://mansangsa.com/</t>
        </is>
      </c>
      <c r="F40" s="5" t="inlineStr">
        <is>
          <t>1566-9437</t>
        </is>
      </c>
      <c r="G40" s="5" t="inlineStr">
        <is>
          <t>biz@mansangsa.com</t>
        </is>
      </c>
      <c r="H40" s="5" t="inlineStr">
        <is>
          <t>https://mansangsa.com/ (홈페이지 상담 신청 폼)</t>
        </is>
      </c>
      <c r="I40" s="5" t="inlineStr">
        <is>
          <t>서울 금천구</t>
        </is>
      </c>
      <c r="J40" s="5" t="inlineStr">
        <is>
          <t>게임·애니·웹툰·엔터 IP 굿즈, 인형/피규어 개발, OEM/ODM 상품, 단체복·키트, 해외 행사 MD / IP 굿즈, 기업 판촉물, 단체복, 웰컴키트, 인형·피규어 OEM/ODM</t>
        </is>
      </c>
      <c r="K40" s="5" t="inlineStr">
        <is>
          <t>불명(전담 MD가 기획~검수·납품 일괄 진행, 자체 공장·중국 거점 언급 없음)</t>
        </is>
      </c>
      <c r="L40" s="5" t="inlineStr">
        <is>
          <t>넥슨·크래프톤 등 IP 보유사 대상 인형·피규어·굿즈를 기획해 외주 생산하는 B2B 기획사로 자체 공장이 없어 중국 소싱 파트너가 필요할 가능성이 높다. / 국내 인쇄 설비 기반의 중견 굿즈 플랫폼이나 인형·피규어 등 해외 제작 품목은 외부 소싱망을 활용하므로 부분 협업 여지가 있다.</t>
        </is>
      </c>
      <c r="M40" s="7" t="inlineStr">
        <is>
          <t>https://mansangsa.com/about ; https://mansangsa.com/dolls-figures</t>
        </is>
      </c>
      <c r="N40" s="8" t="inlineStr"/>
      <c r="O40" s="8" t="inlineStr"/>
      <c r="P40" s="8" t="inlineStr"/>
      <c r="Q40" s="8" t="inlineStr"/>
      <c r="R40" s="8" t="inlineStr"/>
      <c r="S40" s="8" t="inlineStr"/>
      <c r="T40" s="8" t="inlineStr"/>
    </row>
    <row r="41">
      <c r="A41" s="5" t="n">
        <v>40</v>
      </c>
      <c r="B41" s="6" t="inlineStr">
        <is>
          <t>상</t>
        </is>
      </c>
      <c r="C41" s="5" t="inlineStr">
        <is>
          <t>먼데이팩토리</t>
        </is>
      </c>
      <c r="D41" s="5" t="inlineStr">
        <is>
          <t>캐릭터·IP·팬굿즈 기획사 · 판촉물·굿즈 제작대행사</t>
        </is>
      </c>
      <c r="E41" s="7" t="inlineStr">
        <is>
          <t>https://mondayfactory.co.kr/</t>
        </is>
      </c>
      <c r="F41" s="5" t="inlineStr">
        <is>
          <t>031-546-0340</t>
        </is>
      </c>
      <c r="G41" s="5" t="inlineStr">
        <is>
          <t>goodday@mondaypicnic.co.kr</t>
        </is>
      </c>
      <c r="H41" s="5" t="inlineStr">
        <is>
          <t>https://mondayfactory.co.kr/ (온라인 견적 문의)</t>
        </is>
      </c>
      <c r="I41" s="5" t="inlineStr">
        <is>
          <t>경기 성남시 분당구</t>
        </is>
      </c>
      <c r="J41" s="5" t="inlineStr">
        <is>
          <t>응원봉, 아크릴 스탠드·키링, 파우치, 에코백, 코스터, 웰컴키트, 캐릭터 굿즈·판촉물 / 퍼스널브랜딩 굿즈, 웰컴키트, 판촉물, 기념품(에코백, 문구, 생활소품)</t>
        </is>
      </c>
      <c r="K41" s="5" t="inlineStr">
        <is>
          <t>불명(캐릭터사업·굿즈제작 원스톱 플랫폼 표기, 생산 거점 언급 없음)</t>
        </is>
      </c>
      <c r="L41" s="5" t="inlineStr">
        <is>
          <t>응원봉·아크릴·잡화 등 중국 생산 비중이 큰 품목을 원스톱 기획하는 중소 업체로 자체 공장 언급이 없어 중국 소싱 파트너 제안 적합도가 높다. / 해외 소싱을 직접 한다고 하나 자체 현지 조직이 없어 안정적인 중국 생산·검수 파트너가 필요할 가능성이 높다.</t>
        </is>
      </c>
      <c r="M41" s="7" t="inlineStr">
        <is>
          <t>https://m.mondayfactory.co.kr/shopinfo/company.html ; https://mondayfactory.co.kr/category/%EC%9D%91%EC%9B%90%EB%B4%89/586/</t>
        </is>
      </c>
      <c r="N41" s="8" t="inlineStr"/>
      <c r="O41" s="8" t="inlineStr"/>
      <c r="P41" s="8" t="inlineStr"/>
      <c r="Q41" s="8" t="inlineStr"/>
      <c r="R41" s="8" t="inlineStr"/>
      <c r="S41" s="8" t="inlineStr"/>
      <c r="T41" s="8" t="inlineStr"/>
    </row>
    <row r="42">
      <c r="A42" s="5" t="n">
        <v>41</v>
      </c>
      <c r="B42" s="6" t="inlineStr">
        <is>
          <t>상</t>
        </is>
      </c>
      <c r="C42" s="5" t="inlineStr">
        <is>
          <t>오즈의 제작소(콘콘)</t>
        </is>
      </c>
      <c r="D42" s="5" t="inlineStr">
        <is>
          <t>캐릭터·IP·팬굿즈 기획사 · 판촉물·굿즈 제작대행사</t>
        </is>
      </c>
      <c r="E42" s="7" t="inlineStr">
        <is>
          <t>https://ozjejakso.com/</t>
        </is>
      </c>
      <c r="F42" s="5" t="inlineStr">
        <is>
          <t>02-6735-3300</t>
        </is>
      </c>
      <c r="G42" s="5" t="inlineStr"/>
      <c r="H42" s="5" t="inlineStr">
        <is>
          <t>https://ozjejakso.com/ (1:1 전담 매니저 상담 신청), 카카오톡 채널 https://pf.kakao.com/_XFfQs</t>
        </is>
      </c>
      <c r="I42" s="5" t="inlineStr"/>
      <c r="J42" s="5" t="inlineStr">
        <is>
          <t>IP·캐릭터 굿즈, 피규어 굿즈, 페어 인기 굿즈, 기업 굿즈 전반(추천 알고리즘 기반 B2B 굿즈 제작 플랫폼) / 기업·IP 굿즈 추천/디자인/제작/배송 올인원, 대량 굿즈 제작</t>
        </is>
      </c>
      <c r="K42" s="5" t="inlineStr">
        <is>
          <t>불명(제작 플랫폼으로 협력 제작처 연결 방식, 자체 공장·중국 거점 언급 없음)</t>
        </is>
      </c>
      <c r="L42" s="5" t="inlineStr">
        <is>
          <t>2021년 설립된 B2B 굿즈 제작 매칭 플랫폼으로 자체 생산 설비 없이 다양한 품목을 외주로 처리하므로 중국 생산 파트너 풀 확보가 사업에 직접 도움이 된다. / 전담 PM이 다양한 굿즈를 기획·제작대행하는 구조라 자체 제조 없이 외부 생산 파트너 확보가 핵심이다.</t>
        </is>
      </c>
      <c r="M42" s="7" t="inlineStr">
        <is>
          <t>https://ozjejakso.com/ ; https://www.nextunicorn.kr/company/38d1c9668ce44aa7</t>
        </is>
      </c>
      <c r="N42" s="8" t="inlineStr"/>
      <c r="O42" s="8" t="inlineStr"/>
      <c r="P42" s="8" t="inlineStr"/>
      <c r="Q42" s="8" t="inlineStr"/>
      <c r="R42" s="8" t="inlineStr"/>
      <c r="S42" s="8" t="inlineStr"/>
      <c r="T42" s="8" t="inlineStr"/>
    </row>
    <row r="43">
      <c r="A43" s="5" t="n">
        <v>42</v>
      </c>
      <c r="B43" s="6" t="inlineStr">
        <is>
          <t>상</t>
        </is>
      </c>
      <c r="C43" s="5" t="inlineStr">
        <is>
          <t>비더굿즈</t>
        </is>
      </c>
      <c r="D43" s="5" t="inlineStr">
        <is>
          <t>판촉물·굿즈 제작대행사</t>
        </is>
      </c>
      <c r="E43" s="7" t="inlineStr">
        <is>
          <t>https://bethegoods.shop/</t>
        </is>
      </c>
      <c r="F43" s="5" t="inlineStr"/>
      <c r="G43" s="5" t="inlineStr"/>
      <c r="H43" s="5" t="inlineStr">
        <is>
          <t>https://bethegoods.shop/ (제작 문의), 인스타그램 @bethegoods.shop</t>
        </is>
      </c>
      <c r="I43" s="5" t="inlineStr"/>
      <c r="J43" s="5" t="inlineStr">
        <is>
          <t>기업 웰컴키트, 신입사원 키트, 행사 굿즈, 친환경 굿즈 소량 제작</t>
        </is>
      </c>
      <c r="K43" s="5" t="inlineStr">
        <is>
          <t>불명(자체 공장·중국 지사 언급 확인 안 됨)</t>
        </is>
      </c>
      <c r="L43" s="5" t="inlineStr">
        <is>
          <t>소량·빠른 납기 위주의 B2B 웰컴키트 대행사로 자체 제조가 없어 구성품 소싱 파트너가 필요할 수 있으나 연락처는 사이트 직접 확인 필요.</t>
        </is>
      </c>
      <c r="M43" s="7" t="inlineStr">
        <is>
          <t>https://bethegoods.shop/welcome-kit</t>
        </is>
      </c>
      <c r="N43" s="8" t="inlineStr"/>
      <c r="O43" s="8" t="inlineStr"/>
      <c r="P43" s="8" t="inlineStr"/>
      <c r="Q43" s="8" t="inlineStr"/>
      <c r="R43" s="8" t="inlineStr"/>
      <c r="S43" s="8" t="inlineStr"/>
      <c r="T43" s="8" t="inlineStr"/>
    </row>
    <row r="44">
      <c r="A44" s="5" t="n">
        <v>43</v>
      </c>
      <c r="B44" s="6" t="inlineStr">
        <is>
          <t>상</t>
        </is>
      </c>
      <c r="C44" s="5" t="inlineStr">
        <is>
          <t>썸띵((주)썸띵코퍼레이션)</t>
        </is>
      </c>
      <c r="D44" s="5" t="inlineStr">
        <is>
          <t>판촉물·굿즈 제작대행사</t>
        </is>
      </c>
      <c r="E44" s="7" t="inlineStr">
        <is>
          <t>https://www.sumthing.co.kr/</t>
        </is>
      </c>
      <c r="F44" s="5" t="inlineStr">
        <is>
          <t>02-3012-1206</t>
        </is>
      </c>
      <c r="G44" s="5" t="inlineStr">
        <is>
          <t>partners@sumthing.co.kr</t>
        </is>
      </c>
      <c r="H44" s="5" t="inlineStr">
        <is>
          <t>https://www.sumthing.co.kr/ (제작문의)</t>
        </is>
      </c>
      <c r="I44" s="5" t="inlineStr">
        <is>
          <t>서울 송파구</t>
        </is>
      </c>
      <c r="J44" s="5" t="inlineStr">
        <is>
          <t>브랜드 굿즈·키트 기획/디자인/제조/포장/배송 원스톱, 웰컴키트</t>
        </is>
      </c>
      <c r="K44" s="5" t="inlineStr">
        <is>
          <t>약함(폭넓은 소싱 네트워크와 자체 풀필먼트만 언급, 자체 중국 공장·지사 언급 없음)</t>
        </is>
      </c>
      <c r="L44" s="5" t="inlineStr">
        <is>
          <t>디자인·기획 중심 굿즈 스타트업으로 제조는 외부 소싱에 의존하므로 난이도 높은 커스텀 아이템의 중국 생산 파트너가 유용하다.</t>
        </is>
      </c>
      <c r="M44" s="7" t="inlineStr">
        <is>
          <t>https://www.sumthing.co.kr/About</t>
        </is>
      </c>
      <c r="N44" s="8" t="inlineStr"/>
      <c r="O44" s="8" t="inlineStr"/>
      <c r="P44" s="8" t="inlineStr"/>
      <c r="Q44" s="8" t="inlineStr"/>
      <c r="R44" s="8" t="inlineStr"/>
      <c r="S44" s="8" t="inlineStr"/>
      <c r="T44" s="8" t="inlineStr"/>
    </row>
    <row r="45">
      <c r="A45" s="5" t="n">
        <v>44</v>
      </c>
      <c r="B45" s="6" t="inlineStr">
        <is>
          <t>상</t>
        </is>
      </c>
      <c r="C45" s="5" t="inlineStr">
        <is>
          <t>아카이브((주)재승그룹)</t>
        </is>
      </c>
      <c r="D45" s="5" t="inlineStr">
        <is>
          <t>판촉물·굿즈 제작대행사</t>
        </is>
      </c>
      <c r="E45" s="7" t="inlineStr">
        <is>
          <t>https://www.thearc.kr/</t>
        </is>
      </c>
      <c r="F45" s="5" t="inlineStr">
        <is>
          <t>031-922-0090</t>
        </is>
      </c>
      <c r="G45" s="5" t="inlineStr">
        <is>
          <t>archivekit@naver.com</t>
        </is>
      </c>
      <c r="H45" s="5" t="inlineStr">
        <is>
          <t>https://www.thearc.kr/ (키트 제작 문의)</t>
        </is>
      </c>
      <c r="I45" s="5" t="inlineStr">
        <is>
          <t>고양 일산동구</t>
        </is>
      </c>
      <c r="J45" s="5" t="inlineStr">
        <is>
          <t>기업 웰컴키트, 워크숍 키트, 텀블러·다이어리·에코백 등 브랜드 굿즈 패키지</t>
        </is>
      </c>
      <c r="K45" s="5" t="inlineStr">
        <is>
          <t>불명(자체 공장·중국 지사 언급 확인 안 됨)</t>
        </is>
      </c>
      <c r="L45" s="5" t="inlineStr">
        <is>
          <t>웰컴키트 구성품을 조합·제작하는 대행사로 원가 경쟁력 있는 구성품 소싱을 위한 중국 파트너가 유용하다.</t>
        </is>
      </c>
      <c r="M45" s="7" t="inlineStr">
        <is>
          <t>https://www.thearc.kr/kitpackage</t>
        </is>
      </c>
      <c r="N45" s="8" t="inlineStr"/>
      <c r="O45" s="8" t="inlineStr"/>
      <c r="P45" s="8" t="inlineStr"/>
      <c r="Q45" s="8" t="inlineStr"/>
      <c r="R45" s="8" t="inlineStr"/>
      <c r="S45" s="8" t="inlineStr"/>
      <c r="T45" s="8" t="inlineStr"/>
    </row>
    <row r="46">
      <c r="A46" s="5" t="n">
        <v>45</v>
      </c>
      <c r="B46" s="6" t="inlineStr">
        <is>
          <t>상</t>
        </is>
      </c>
      <c r="C46" s="5" t="inlineStr">
        <is>
          <t>에이원기프트(주식회사 에이원기프트)</t>
        </is>
      </c>
      <c r="D46" s="5" t="inlineStr">
        <is>
          <t>판촉물·굿즈 제작대행사</t>
        </is>
      </c>
      <c r="E46" s="7" t="inlineStr">
        <is>
          <t>https://aonegift.co.kr/</t>
        </is>
      </c>
      <c r="F46" s="5" t="inlineStr">
        <is>
          <t>1661-1069</t>
        </is>
      </c>
      <c r="G46" s="5" t="inlineStr">
        <is>
          <t>aone@aonegift.co.kr</t>
        </is>
      </c>
      <c r="H46" s="5" t="inlineStr">
        <is>
          <t>https://aonegift.co.kr/ (온라인 견적문의)</t>
        </is>
      </c>
      <c r="I46" s="5" t="inlineStr">
        <is>
          <t>양산 물금읍</t>
        </is>
      </c>
      <c r="J46" s="5" t="inlineStr">
        <is>
          <t>기업·관공서 행사 판촉물, 기념품, 사은품 제작</t>
        </is>
      </c>
      <c r="K46" s="5" t="inlineStr">
        <is>
          <t>불명(자체 공장·중국 지사 언급 확인 안 됨)</t>
        </is>
      </c>
      <c r="L46" s="5" t="inlineStr">
        <is>
          <t>영남권 판촉물 제작대행사로 자체 생산망 언급이 없어 저가·대량 아이템의 중국 소싱 파트너가 필요할 수 있다.</t>
        </is>
      </c>
      <c r="M46" s="7" t="inlineStr">
        <is>
          <t>https://aonegift.co.kr/</t>
        </is>
      </c>
      <c r="N46" s="8" t="inlineStr"/>
      <c r="O46" s="8" t="inlineStr"/>
      <c r="P46" s="8" t="inlineStr"/>
      <c r="Q46" s="8" t="inlineStr"/>
      <c r="R46" s="8" t="inlineStr"/>
      <c r="S46" s="8" t="inlineStr"/>
      <c r="T46" s="8" t="inlineStr"/>
    </row>
    <row r="47">
      <c r="A47" s="5" t="n">
        <v>46</v>
      </c>
      <c r="B47" s="6" t="inlineStr">
        <is>
          <t>상</t>
        </is>
      </c>
      <c r="C47" s="5" t="inlineStr">
        <is>
          <t>주아기프트(주식회사 제이컴스)</t>
        </is>
      </c>
      <c r="D47" s="5" t="inlineStr">
        <is>
          <t>판촉물·굿즈 제작대행사</t>
        </is>
      </c>
      <c r="E47" s="7" t="inlineStr">
        <is>
          <t>https://juagift.com/</t>
        </is>
      </c>
      <c r="F47" s="5" t="inlineStr">
        <is>
          <t>1544-6233</t>
        </is>
      </c>
      <c r="G47" s="5" t="inlineStr">
        <is>
          <t>juagift@juagift.com</t>
        </is>
      </c>
      <c r="H47" s="5" t="inlineStr">
        <is>
          <t>https://juagift.com/ (온라인 견적/대량주문 문의)</t>
        </is>
      </c>
      <c r="I47" s="5" t="inlineStr">
        <is>
          <t>군포시</t>
        </is>
      </c>
      <c r="J47" s="5" t="inlineStr">
        <is>
          <t>판촉물·기념품·답례품·홍보용품 주문제작(인쇄·각인), 이벤트 사은품</t>
        </is>
      </c>
      <c r="K47" s="5" t="inlineStr">
        <is>
          <t>불명(본사·출고센터만 공개, 중국 공장·지사 언급 없음)</t>
        </is>
      </c>
      <c r="L47" s="5" t="inlineStr">
        <is>
          <t>최저가 보장형 판촉물 제작대행사로 국내 출고센터만 운영해 원가 절감을 위한 중국 소싱 파트너 수요가 있을 수 있다.</t>
        </is>
      </c>
      <c r="M47" s="7" t="inlineStr">
        <is>
          <t>https://juagift.com/</t>
        </is>
      </c>
      <c r="N47" s="8" t="inlineStr"/>
      <c r="O47" s="8" t="inlineStr"/>
      <c r="P47" s="8" t="inlineStr"/>
      <c r="Q47" s="8" t="inlineStr"/>
      <c r="R47" s="8" t="inlineStr"/>
      <c r="S47" s="8" t="inlineStr"/>
      <c r="T47" s="8" t="inlineStr"/>
    </row>
    <row r="48">
      <c r="A48" s="5" t="n">
        <v>47</v>
      </c>
      <c r="B48" s="6" t="inlineStr">
        <is>
          <t>상</t>
        </is>
      </c>
      <c r="C48" s="5" t="inlineStr">
        <is>
          <t>개성상인((주)개성상인)</t>
        </is>
      </c>
      <c r="D48" s="5" t="inlineStr">
        <is>
          <t>판촉물·굿즈 제작대행사 · 관공서·학교·금융·프랜차이즈 판촉 납품업체</t>
        </is>
      </c>
      <c r="E48" s="7" t="inlineStr">
        <is>
          <t>https://www.intermarket.co.kr/</t>
        </is>
      </c>
      <c r="F48" s="5" t="inlineStr">
        <is>
          <t>1544-8713</t>
        </is>
      </c>
      <c r="G48" s="5" t="inlineStr">
        <is>
          <t>info@intermarket.co.kr</t>
        </is>
      </c>
      <c r="H48" s="5" t="inlineStr">
        <is>
          <t>https://intermarket.co.kr/src/order.php (주문/견적문의)</t>
        </is>
      </c>
      <c r="I48" s="5" t="inlineStr">
        <is>
          <t>성남 분당구</t>
        </is>
      </c>
      <c r="J48" s="5" t="inlineStr">
        <is>
          <t>기업·대학·공공기관 기념품, 판촉물, 웰컴키트, 브랜드 굿즈 세트 / 기념품·판촉물·굿즈·홍보물품 제작 (TECH/전자기기, 필기도구, 건강관리용품, 우산 등)</t>
        </is>
      </c>
      <c r="K48" s="5" t="inlineStr">
        <is>
          <t>불명(자체 공장·중국 지사 언급 확인 안 됨)</t>
        </is>
      </c>
      <c r="L48" s="5" t="inlineStr">
        <is>
          <t>판교 소재 판촉물·웰컴키트 제작대행사로 자체 제조망 언급이 없어 중국 소싱 파트너 활용 여지가 크다. / 판교 소재 판촉물 플랫폼으로 입점업체(공급사) 모집 구조를 갖추고 있어 직접 소싱보다는 공급사를 통해 조달할 가능성이 있으나 전자기기·굿즈 카테고리 확대 시 중국 소싱 파트너가 유용할 수 있음.</t>
        </is>
      </c>
      <c r="M48" s="7" t="inlineStr">
        <is>
          <t>https://www.intermarket.co.kr/src/guide_usage.php</t>
        </is>
      </c>
      <c r="N48" s="8" t="inlineStr"/>
      <c r="O48" s="8" t="inlineStr"/>
      <c r="P48" s="8" t="inlineStr"/>
      <c r="Q48" s="8" t="inlineStr"/>
      <c r="R48" s="8" t="inlineStr"/>
      <c r="S48" s="8" t="inlineStr"/>
      <c r="T48" s="8" t="inlineStr"/>
    </row>
    <row r="49">
      <c r="A49" s="5" t="n">
        <v>48</v>
      </c>
      <c r="B49" s="6" t="inlineStr">
        <is>
          <t>상</t>
        </is>
      </c>
      <c r="C49" s="5" t="inlineStr">
        <is>
          <t>고려기프트</t>
        </is>
      </c>
      <c r="D49" s="5" t="inlineStr">
        <is>
          <t>판촉물·굿즈 제작대행사 · 관공서·학교·금융·프랜차이즈 판촉 납품업체</t>
        </is>
      </c>
      <c r="E49" s="7" t="inlineStr">
        <is>
          <t>https://adpanchok.co.kr/</t>
        </is>
      </c>
      <c r="F49" s="5" t="inlineStr">
        <is>
          <t>1577-2288</t>
        </is>
      </c>
      <c r="G49" s="5" t="inlineStr"/>
      <c r="H49" s="5" t="inlineStr">
        <is>
          <t>https://adpanchok.co.kr/ (온라인 견적상담), 협력사 입점 https://adpanchok.co.kr/partner/</t>
        </is>
      </c>
      <c r="I49" s="5" t="inlineStr">
        <is>
          <t>서울 도봉구</t>
        </is>
      </c>
      <c r="J49" s="5" t="inlineStr">
        <is>
          <t>판촉물·홍보물품·기념품·답례품 단체주문(로고 인쇄·각인) / 판촉물·기념품 단체주문 (자동차용품 판촉물, 은행/금융권 판촉물, 공공기관 우선구매 대상기업)</t>
        </is>
      </c>
      <c r="K49" s="5" t="inlineStr">
        <is>
          <t>불명(협력사 입점 방식으로 상품 공급, 자체 공장·중국 지사 언급 없음)</t>
        </is>
      </c>
      <c r="L49" s="5" t="inlineStr">
        <is>
          <t>협력사(공급사) 입점형 판촉물 전문몰이라 직접 소싱보다는 공급사 확보 관점에서 중국 소싱 파트너와 협업할 여지가 있다. / 공공기관 우선구매 대상기업이자 자사 사옥을 보유한 대형 판촉물 전문몰로 자동차용품·금융권 판촉물 등 다양한 카테고리를 대량 취급해 중국 소싱 파트너의 가치가 큼.</t>
        </is>
      </c>
      <c r="M49" s="7" t="inlineStr">
        <is>
          <t>https://adpanchok.co.kr/partner/</t>
        </is>
      </c>
      <c r="N49" s="8" t="inlineStr"/>
      <c r="O49" s="8" t="inlineStr"/>
      <c r="P49" s="8" t="inlineStr"/>
      <c r="Q49" s="8" t="inlineStr"/>
      <c r="R49" s="8" t="inlineStr"/>
      <c r="S49" s="8" t="inlineStr"/>
      <c r="T49" s="8" t="inlineStr"/>
    </row>
    <row r="50">
      <c r="A50" s="5" t="n">
        <v>49</v>
      </c>
      <c r="B50" s="6" t="inlineStr">
        <is>
          <t>상</t>
        </is>
      </c>
      <c r="C50" s="5" t="inlineStr">
        <is>
          <t>세종기프트(구 기프트인포)</t>
        </is>
      </c>
      <c r="D50" s="5" t="inlineStr">
        <is>
          <t>판촉물·굿즈 제작대행사 · 관공서·학교·금융·프랜차이즈 판촉 납품업체</t>
        </is>
      </c>
      <c r="E50" s="7" t="inlineStr">
        <is>
          <t>https://giftinfo.co.kr/</t>
        </is>
      </c>
      <c r="F50" s="5" t="inlineStr">
        <is>
          <t>02-500-5900</t>
        </is>
      </c>
      <c r="G50" s="5" t="inlineStr">
        <is>
          <t>help@gifti.co.kr</t>
        </is>
      </c>
      <c r="H50" s="5" t="inlineStr">
        <is>
          <t>https://giftinfo.co.kr/ (온라인 견적/주문)</t>
        </is>
      </c>
      <c r="I50" s="5" t="inlineStr">
        <is>
          <t>서울 중구</t>
        </is>
      </c>
      <c r="J50" s="5" t="inlineStr">
        <is>
          <t>판촉물·기념품·답례품·굿즈 전반(생활용품, 문구, 우산, 텀블러 등 로고 인쇄 제작) / 판촉물·기념품·답례품·굿즈 인쇄제작 (텀블러, 에코백, 문구, 건강식품 판촉물 등)</t>
        </is>
      </c>
      <c r="K50" s="5" t="inlineStr">
        <is>
          <t>불명(사이트에 중국 공장·지사 언급 확인 안 됨, 최저가 보장형 종합 판촉물 쇼핑몰)</t>
        </is>
      </c>
      <c r="L50" s="5" t="inlineStr">
        <is>
          <t>대량 카탈로그형 판촉물 쇼핑몰로 자체 생산시설 언급이 없어 신규 아이템·OEM 기획 시 외부 중국 소싱 파트너가 필요할 가능성이 높다. / 대기업·공공기관 우선구매대상 기업으로 최저가 보장제를 내세우는 대형 판촉물 종합몰이라 원가 경쟁력 확보를 위한 중국 소싱 파트너 수요가 클 것으로 판단됨.</t>
        </is>
      </c>
      <c r="M50" s="7" t="inlineStr">
        <is>
          <t>https://giftinfo.co.kr/</t>
        </is>
      </c>
      <c r="N50" s="8" t="inlineStr"/>
      <c r="O50" s="8" t="inlineStr"/>
      <c r="P50" s="8" t="inlineStr"/>
      <c r="Q50" s="8" t="inlineStr"/>
      <c r="R50" s="8" t="inlineStr"/>
      <c r="S50" s="8" t="inlineStr"/>
      <c r="T50" s="8" t="inlineStr"/>
    </row>
    <row r="51">
      <c r="A51" s="5" t="n">
        <v>50</v>
      </c>
      <c r="B51" s="6" t="inlineStr">
        <is>
          <t>상</t>
        </is>
      </c>
      <c r="C51" s="5" t="inlineStr">
        <is>
          <t>시너지기프트</t>
        </is>
      </c>
      <c r="D51" s="5" t="inlineStr">
        <is>
          <t>판촉물·굿즈 제작대행사 · 관공서·학교·금융·프랜차이즈 판촉 납품업체</t>
        </is>
      </c>
      <c r="E51" s="7" t="inlineStr">
        <is>
          <t>https://www.synergygift.co.kr/</t>
        </is>
      </c>
      <c r="F51" s="5" t="inlineStr">
        <is>
          <t>02-713-8555</t>
        </is>
      </c>
      <c r="G51" s="5" t="inlineStr">
        <is>
          <t>master@synergygift.co.kr</t>
        </is>
      </c>
      <c r="H51" s="5" t="inlineStr">
        <is>
          <t>https://synergygift.co.kr/src/guide.php (주문가이드/견적문의)</t>
        </is>
      </c>
      <c r="I51" s="5" t="inlineStr">
        <is>
          <t>고양 덕양구</t>
        </is>
      </c>
      <c r="J51" s="5" t="inlineStr">
        <is>
          <t>기업·대학·연구소·공공기관 행사판촉물, 웰컴키트, 사은품, 굿즈 / 기업·대학·연구소·공공기관 행사판촉물, 홍보물품, 사은품, 웰컴키트, 굿즈 (텀블러, 손거울, 냅킨, 메모잇 등 주문제작형)</t>
        </is>
      </c>
      <c r="K51" s="5" t="inlineStr">
        <is>
          <t>불명(자체 공장·중국 지사 언급 확인 안 됨)</t>
        </is>
      </c>
      <c r="L51" s="5" t="inlineStr">
        <is>
          <t>기관·기업 대상 판촉물 제작대행 위주로 자체 제조 언급이 없어 외부 소싱 파트너 활용 여지가 크다. / 보험사 사은품 검색에서 노출되는 공공기관·기업 행사판촉물 전문업체로 웰컴키트·굿즈 등 주문제작형 품목이 많아 중국 OEM 소싱 파트너 수요가 있을 것으로 판단됨.</t>
        </is>
      </c>
      <c r="M51" s="7" t="inlineStr">
        <is>
          <t>https://www.synergygift.co.kr/</t>
        </is>
      </c>
      <c r="N51" s="8" t="inlineStr"/>
      <c r="O51" s="8" t="inlineStr"/>
      <c r="P51" s="8" t="inlineStr"/>
      <c r="Q51" s="8" t="inlineStr"/>
      <c r="R51" s="8" t="inlineStr"/>
      <c r="S51" s="8" t="inlineStr"/>
      <c r="T51" s="8" t="inlineStr"/>
    </row>
    <row r="52">
      <c r="A52" s="5" t="n">
        <v>51</v>
      </c>
      <c r="B52" s="6" t="inlineStr">
        <is>
          <t>상</t>
        </is>
      </c>
      <c r="C52" s="5" t="inlineStr">
        <is>
          <t>판촉나라</t>
        </is>
      </c>
      <c r="D52" s="5" t="inlineStr">
        <is>
          <t>판촉물·굿즈 제작대행사 · 관공서·학교·금융·프랜차이즈 판촉 납품업체</t>
        </is>
      </c>
      <c r="E52" s="7" t="inlineStr">
        <is>
          <t>https://87nara.kr/</t>
        </is>
      </c>
      <c r="F52" s="5" t="inlineStr">
        <is>
          <t>1533-8700</t>
        </is>
      </c>
      <c r="G52" s="5" t="inlineStr">
        <is>
          <t>biz87@naver.com</t>
        </is>
      </c>
      <c r="H52" s="5" t="inlineStr">
        <is>
          <t>카카오톡 ID 87narakr(야간문의), https://87nara.kr/ (온라인 견적)</t>
        </is>
      </c>
      <c r="I52" s="5" t="inlineStr">
        <is>
          <t>대구 수성구</t>
        </is>
      </c>
      <c r="J52" s="5" t="inlineStr">
        <is>
          <t>학교·관공서·기업 판촉물, 행사 기념품, 답례품, 단체선물 / 판촉물·기념품·답례품·사은품·홍보물 (공공기관기념품 카테고리 운영, 학원홍보물, 떡메모지, 세면백 등)</t>
        </is>
      </c>
      <c r="K52" s="5" t="inlineStr">
        <is>
          <t>불명(자체 공장·중국 지사 언급 확인 안 됨)</t>
        </is>
      </c>
      <c r="L52" s="5" t="inlineStr">
        <is>
          <t>소규모 판촉물 전문 쇼핑몰로 자체 제조 기반이 없어 신규 상품 소싱을 외부 파트너에 의존할 가능성이 높다. / 학교·관공서·기업 행사 판촉물을 전문으로 하는 대구권 온라인몰로 공공기관기념품 전용 카테고리를 운영하나 자체 해외 생산망 언급이 없어 외부 중국 소싱 파트너가 필요할 가능성이 높음.</t>
        </is>
      </c>
      <c r="M52" s="7" t="inlineStr">
        <is>
          <t>https://87nara.kr/</t>
        </is>
      </c>
      <c r="N52" s="8" t="inlineStr"/>
      <c r="O52" s="8" t="inlineStr"/>
      <c r="P52" s="8" t="inlineStr"/>
      <c r="Q52" s="8" t="inlineStr"/>
      <c r="R52" s="8" t="inlineStr"/>
      <c r="S52" s="8" t="inlineStr"/>
      <c r="T52" s="8" t="inlineStr"/>
    </row>
    <row r="53">
      <c r="A53" s="5" t="n">
        <v>52</v>
      </c>
      <c r="B53" s="6" t="inlineStr">
        <is>
          <t>상</t>
        </is>
      </c>
      <c r="C53" s="5" t="inlineStr">
        <is>
          <t>판촉넷(대한판촉 주식회사)</t>
        </is>
      </c>
      <c r="D53" s="5" t="inlineStr">
        <is>
          <t>판촉물·굿즈 제작대행사 · 관공서·학교·금융·프랜차이즈 판촉 납품업체</t>
        </is>
      </c>
      <c r="E53" s="7" t="inlineStr">
        <is>
          <t>https://panchock.net/</t>
        </is>
      </c>
      <c r="F53" s="5" t="inlineStr">
        <is>
          <t>050-7790-0631</t>
        </is>
      </c>
      <c r="G53" s="5" t="inlineStr">
        <is>
          <t>16008387@korea87.kr</t>
        </is>
      </c>
      <c r="H53" s="5" t="inlineStr">
        <is>
          <t>https://panchock.net/ (온라인 견적문의)</t>
        </is>
      </c>
      <c r="I53" s="5" t="inlineStr">
        <is>
          <t>대구 수성구</t>
        </is>
      </c>
      <c r="J53" s="5" t="inlineStr">
        <is>
          <t>개업판촉물, 관공서·학교·기업 기념품, 홍보물 도매 / 프랜차이즈·은행(국민은행 등 금융권) 판촉물, 라이터·볼펜 등 판촉물 제작</t>
        </is>
      </c>
      <c r="K53" s="5" t="inlineStr">
        <is>
          <t>불명(회사소개에 자체 공장·중국 지사 언급 없음)</t>
        </is>
      </c>
      <c r="L53" s="5" t="inlineStr">
        <is>
          <t>지역 기반 판촉물 유통·제작대행사로 자체 제조망이 없어 차별화 아이템 확보를 위한 중국 소싱 파트너 수요가 있을 수 있다. / 은행별·프랜차이즈 판촉물 카테고리를 별도 운영하는 판촉물 전문몰로 금융권·가맹점 대량 판촉물 수요에 대응할 중국 소싱 파트너가 필요할 수 있으나 연락처는 사이트 접근 차단으로 미확인.</t>
        </is>
      </c>
      <c r="M53" s="7" t="inlineStr">
        <is>
          <t>https://panchock.net/</t>
        </is>
      </c>
      <c r="N53" s="8" t="inlineStr"/>
      <c r="O53" s="8" t="inlineStr"/>
      <c r="P53" s="8" t="inlineStr"/>
      <c r="Q53" s="8" t="inlineStr"/>
      <c r="R53" s="8" t="inlineStr"/>
      <c r="S53" s="8" t="inlineStr"/>
      <c r="T53" s="8" t="inlineStr"/>
    </row>
    <row r="54">
      <c r="A54" s="5" t="n">
        <v>53</v>
      </c>
      <c r="B54" s="6" t="inlineStr">
        <is>
          <t>상</t>
        </is>
      </c>
      <c r="C54" s="5" t="inlineStr">
        <is>
          <t>판촉이지((주)펀앤허브)</t>
        </is>
      </c>
      <c r="D54" s="5" t="inlineStr">
        <is>
          <t>판촉물·굿즈 제작대행사 · 관공서·학교·금융·프랜차이즈 판촉 납품업체</t>
        </is>
      </c>
      <c r="E54" s="7" t="inlineStr">
        <is>
          <t>https://easy1.co.kr/</t>
        </is>
      </c>
      <c r="F54" s="5" t="inlineStr">
        <is>
          <t>02-412-0044</t>
        </is>
      </c>
      <c r="G54" s="5" t="inlineStr">
        <is>
          <t>master@eggift.co.kr</t>
        </is>
      </c>
      <c r="H54" s="5" t="inlineStr">
        <is>
          <t>https://easy1.co.kr/ (온라인 견적문의)</t>
        </is>
      </c>
      <c r="I54" s="5" t="inlineStr">
        <is>
          <t>서울 금천구(통신판매업신고 기준)</t>
        </is>
      </c>
      <c r="J54" s="5" t="inlineStr">
        <is>
          <t>기업·대학·연구소·공공기관 행사판촉물, 홍보물품, 사은품(전자기기·생활용품 등) / 기업·대학·연구소·공공기관 행사판촉물, 홍보물품, 사은품 (공공기관 판촉물 모음전, 상패/트로피, 다이어리, 행사가방 등)</t>
        </is>
      </c>
      <c r="K54" s="5" t="inlineStr">
        <is>
          <t>불명(자체 공장·중국 지사 언급 확인 안 됨)</t>
        </is>
      </c>
      <c r="L54" s="5" t="inlineStr">
        <is>
          <t>브랜드 상품 유통 중심의 판촉물 제작대행사로 자체 제조가 없어 OEM 아이템 개발 시 외부 소싱 파트너가 필요하다. / 공공기관 판촉물 모음전을 별도 운영하며 대학·연구소·공공기관 행사 판촉물을 전문으로 하는 업체로 자체 해외 생산 언급이 없어 중국 소싱 파트너 수요가 있을 것으로 판단됨.</t>
        </is>
      </c>
      <c r="M54" s="7" t="inlineStr">
        <is>
          <t>https://easy1.co.kr/src/privacy.php</t>
        </is>
      </c>
      <c r="N54" s="8" t="inlineStr"/>
      <c r="O54" s="8" t="inlineStr"/>
      <c r="P54" s="8" t="inlineStr"/>
      <c r="Q54" s="8" t="inlineStr"/>
      <c r="R54" s="8" t="inlineStr"/>
      <c r="S54" s="8" t="inlineStr"/>
      <c r="T54" s="8" t="inlineStr"/>
    </row>
    <row r="55">
      <c r="A55" s="5" t="n">
        <v>54</v>
      </c>
      <c r="B55" s="9" t="inlineStr">
        <is>
          <t>중</t>
        </is>
      </c>
      <c r="C55" s="5" t="inlineStr">
        <is>
          <t>마음상자</t>
        </is>
      </c>
      <c r="D55" s="5" t="inlineStr">
        <is>
          <t>OEM 온라인브랜드·패키징</t>
        </is>
      </c>
      <c r="E55" s="7" t="inlineStr">
        <is>
          <t>https://www.maumsangja.com</t>
        </is>
      </c>
      <c r="F55" s="5" t="inlineStr">
        <is>
          <t>02-463-8212</t>
        </is>
      </c>
      <c r="G55" s="5" t="inlineStr"/>
      <c r="H55" s="5" t="inlineStr">
        <is>
          <t>https://www.maumsangja.com/</t>
        </is>
      </c>
      <c r="I55" s="5" t="inlineStr"/>
      <c r="J55" s="5" t="inlineStr">
        <is>
          <t>선물박스·단상자·싸바리박스, 쇼핑백, 맞춤 스티커 제작(1:1 패키지 컨설팅)</t>
        </is>
      </c>
      <c r="K55" s="5" t="inlineStr">
        <is>
          <t>약함(국내 생산시설 보유 표방, 중국 소싱망 언급 없음)</t>
        </is>
      </c>
      <c r="L55" s="5" t="inlineStr">
        <is>
          <t>국내 생산시설로 박스를 만들지만 쇼핑백·파우치 등 외주 품목은 중국 소싱 파트너와 협업 여지가 있다.</t>
        </is>
      </c>
      <c r="M55" s="7" t="inlineStr">
        <is>
          <t>https://www.maumsangja.com/</t>
        </is>
      </c>
      <c r="N55" s="8" t="inlineStr"/>
      <c r="O55" s="8" t="inlineStr"/>
      <c r="P55" s="8" t="inlineStr"/>
      <c r="Q55" s="8" t="inlineStr"/>
      <c r="R55" s="8" t="inlineStr"/>
      <c r="S55" s="8" t="inlineStr"/>
      <c r="T55" s="8" t="inlineStr"/>
    </row>
    <row r="56">
      <c r="A56" s="5" t="n">
        <v>55</v>
      </c>
      <c r="B56" s="9" t="inlineStr">
        <is>
          <t>중</t>
        </is>
      </c>
      <c r="C56" s="5" t="inlineStr">
        <is>
          <t>박스네(BOXNE)</t>
        </is>
      </c>
      <c r="D56" s="5" t="inlineStr">
        <is>
          <t>OEM 온라인브랜드·패키징</t>
        </is>
      </c>
      <c r="E56" s="7" t="inlineStr">
        <is>
          <t>https://www.boxne.co.kr</t>
        </is>
      </c>
      <c r="F56" s="5" t="inlineStr">
        <is>
          <t>02-2277-0023</t>
        </is>
      </c>
      <c r="G56" s="5" t="inlineStr">
        <is>
          <t>syprint02@boxne.co.kr</t>
        </is>
      </c>
      <c r="H56" s="5" t="inlineStr">
        <is>
          <t>https://www.boxne.co.kr/</t>
        </is>
      </c>
      <c r="I56" s="5" t="inlineStr">
        <is>
          <t>서울 중구</t>
        </is>
      </c>
      <c r="J56" s="5" t="inlineStr">
        <is>
          <t>싸바리박스, 컬러 포장박스, 쇼핑백, 패키지 주문제작(김포 자체공장)</t>
        </is>
      </c>
      <c r="K56" s="5" t="inlineStr">
        <is>
          <t>약함(국내 김포 자체공장 보유, 중국 소싱망 언급 없음)</t>
        </is>
      </c>
      <c r="L56" s="5" t="inlineStr">
        <is>
          <t>국내 자체공장으로 박스는 직접 생산하지만 쇼핑백·부자재 원가 절감용 중국 소싱 수요가 있을 수 있다.</t>
        </is>
      </c>
      <c r="M56" s="7" t="inlineStr">
        <is>
          <t>https://www.boxne.co.kr/</t>
        </is>
      </c>
      <c r="N56" s="8" t="inlineStr"/>
      <c r="O56" s="8" t="inlineStr"/>
      <c r="P56" s="8" t="inlineStr"/>
      <c r="Q56" s="8" t="inlineStr"/>
      <c r="R56" s="8" t="inlineStr"/>
      <c r="S56" s="8" t="inlineStr"/>
      <c r="T56" s="8" t="inlineStr"/>
    </row>
    <row r="57">
      <c r="A57" s="5" t="n">
        <v>56</v>
      </c>
      <c r="B57" s="9" t="inlineStr">
        <is>
          <t>중</t>
        </is>
      </c>
      <c r="C57" s="5" t="inlineStr">
        <is>
          <t>박스명가(BOXMGA)</t>
        </is>
      </c>
      <c r="D57" s="5" t="inlineStr">
        <is>
          <t>OEM 온라인브랜드·패키징</t>
        </is>
      </c>
      <c r="E57" s="7" t="inlineStr">
        <is>
          <t>https://www.boxmga.com</t>
        </is>
      </c>
      <c r="F57" s="5" t="inlineStr">
        <is>
          <t>02-2266-1113</t>
        </is>
      </c>
      <c r="G57" s="5" t="inlineStr">
        <is>
          <t>syprint02@daum.net</t>
        </is>
      </c>
      <c r="H57" s="5" t="inlineStr">
        <is>
          <t>https://www.boxmga.com/sub06/sub01.php</t>
        </is>
      </c>
      <c r="I57" s="5" t="inlineStr">
        <is>
          <t>서울 중구</t>
        </is>
      </c>
      <c r="J57" s="5" t="inlineStr">
        <is>
          <t>FSC인증 패키지, 화장품 단상자, 싸바리박스, 쇼핑백 제작</t>
        </is>
      </c>
      <c r="K57" s="5" t="inlineStr">
        <is>
          <t>약함(충무로 기반 국내 인쇄·제작, 중국 소싱망 언급 없음)</t>
        </is>
      </c>
      <c r="L57" s="5" t="inlineStr">
        <is>
          <t>40년 국내 제작 노하우가 있으나 쇼핑백·특수 소재 패키지 원가 절감 시 중국 생산 파트너 수요가 있을 수 있다(박스네와 동일 그룹 추정).</t>
        </is>
      </c>
      <c r="M57" s="7" t="inlineStr">
        <is>
          <t>https://www.boxmga.com/sub06/sub01.php</t>
        </is>
      </c>
      <c r="N57" s="8" t="inlineStr"/>
      <c r="O57" s="8" t="inlineStr"/>
      <c r="P57" s="8" t="inlineStr"/>
      <c r="Q57" s="8" t="inlineStr"/>
      <c r="R57" s="8" t="inlineStr"/>
      <c r="S57" s="8" t="inlineStr"/>
      <c r="T57" s="8" t="inlineStr"/>
    </row>
    <row r="58">
      <c r="A58" s="5" t="n">
        <v>57</v>
      </c>
      <c r="B58" s="9" t="inlineStr">
        <is>
          <t>중</t>
        </is>
      </c>
      <c r="C58" s="5" t="inlineStr">
        <is>
          <t>아르르((주)블랭크코퍼레이션/동원디어푸드)</t>
        </is>
      </c>
      <c r="D58" s="5" t="inlineStr">
        <is>
          <t>OEM 온라인브랜드·패키징</t>
        </is>
      </c>
      <c r="E58" s="7" t="inlineStr">
        <is>
          <t>https://arrr.kr</t>
        </is>
      </c>
      <c r="F58" s="5" t="inlineStr">
        <is>
          <t>1877-3228</t>
        </is>
      </c>
      <c r="G58" s="5" t="inlineStr">
        <is>
          <t>arrr@blankcorp.kr</t>
        </is>
      </c>
      <c r="H58" s="5" t="inlineStr">
        <is>
          <t>https://arrr.kr/cs/ / 카카오톡 @아르르</t>
        </is>
      </c>
      <c r="I58" s="5" t="inlineStr">
        <is>
          <t>서울 서초구</t>
        </is>
      </c>
      <c r="J58" s="5" t="inlineStr">
        <is>
          <t>반려동물 용품·간식·장난감(미디어커머스 기반 자체 브랜드)</t>
        </is>
      </c>
      <c r="K58" s="5" t="inlineStr">
        <is>
          <t>불명(자체 공장 없는 미디어커머스형 브랜드, 모회사 소싱망 미확인)</t>
        </is>
      </c>
      <c r="L58" s="5" t="inlineStr">
        <is>
          <t>외주 생산 기반 반려용품 브랜드지만 대기업(동원) 계열로 편입돼 기존 소싱망을 활용할 가능성이 있다.</t>
        </is>
      </c>
      <c r="M58" s="7" t="inlineStr">
        <is>
          <t>https://arrr.kr/cs/</t>
        </is>
      </c>
      <c r="N58" s="8" t="inlineStr"/>
      <c r="O58" s="8" t="inlineStr"/>
      <c r="P58" s="8" t="inlineStr"/>
      <c r="Q58" s="8" t="inlineStr"/>
      <c r="R58" s="8" t="inlineStr"/>
      <c r="S58" s="8" t="inlineStr"/>
      <c r="T58" s="8" t="inlineStr"/>
    </row>
    <row r="59">
      <c r="A59" s="5" t="n">
        <v>58</v>
      </c>
      <c r="B59" s="9" t="inlineStr">
        <is>
          <t>중</t>
        </is>
      </c>
      <c r="C59" s="5" t="inlineStr">
        <is>
          <t>늘봄기프트 (늘봄컴퍼니)</t>
        </is>
      </c>
      <c r="D59" s="5" t="inlineStr">
        <is>
          <t>관공서·학교·금융·프랜차이즈 판촉 납품업체</t>
        </is>
      </c>
      <c r="E59" s="7" t="inlineStr">
        <is>
          <t>https://alwaysbomgift.com/</t>
        </is>
      </c>
      <c r="F59" s="5" t="inlineStr">
        <is>
          <t>1544-6233</t>
        </is>
      </c>
      <c r="G59" s="5" t="inlineStr">
        <is>
          <t>alwaysbom2018@naver.com</t>
        </is>
      </c>
      <c r="H59" s="5" t="inlineStr"/>
      <c r="I59" s="5" t="inlineStr">
        <is>
          <t>성남 분당구</t>
        </is>
      </c>
      <c r="J59" s="5" t="inlineStr">
        <is>
          <t>기업·공공기관·관공서·대학교·학원·협회 기념품 판촉물 도매 (문구, 에코백, 생활용품 등)</t>
        </is>
      </c>
      <c r="K59" s="5" t="inlineStr">
        <is>
          <t>불명(검색결과에 중국 공장/지사 언급 없음)</t>
        </is>
      </c>
      <c r="L59" s="5" t="inlineStr">
        <is>
          <t>관공서·대학교·학원 대상 판촉물 도매몰을 표방하는 소규모 업체로 자체 생산망이 없어 가격 경쟁력 확보를 위한 중국 소싱 파트너 활용 가능성이 있음.</t>
        </is>
      </c>
      <c r="M59" s="7" t="inlineStr">
        <is>
          <t>https://alwaysbomgift.com/</t>
        </is>
      </c>
      <c r="N59" s="8" t="inlineStr"/>
      <c r="O59" s="8" t="inlineStr"/>
      <c r="P59" s="8" t="inlineStr"/>
      <c r="Q59" s="8" t="inlineStr"/>
      <c r="R59" s="8" t="inlineStr"/>
      <c r="S59" s="8" t="inlineStr"/>
      <c r="T59" s="8" t="inlineStr"/>
    </row>
    <row r="60">
      <c r="A60" s="5" t="n">
        <v>59</v>
      </c>
      <c r="B60" s="9" t="inlineStr">
        <is>
          <t>중</t>
        </is>
      </c>
      <c r="C60" s="5" t="inlineStr">
        <is>
          <t>망고기프트 (원더풀라이프)</t>
        </is>
      </c>
      <c r="D60" s="5" t="inlineStr">
        <is>
          <t>관공서·학교·금융·프랜차이즈 판촉 납품업체</t>
        </is>
      </c>
      <c r="E60" s="7" t="inlineStr">
        <is>
          <t>https://mangogift.co.kr/</t>
        </is>
      </c>
      <c r="F60" s="5" t="inlineStr"/>
      <c r="G60" s="5" t="inlineStr">
        <is>
          <t>wdplife337@gmail.com</t>
        </is>
      </c>
      <c r="H60" s="5" t="inlineStr"/>
      <c r="I60" s="5" t="inlineStr">
        <is>
          <t>서울 구로구</t>
        </is>
      </c>
      <c r="J60" s="5" t="inlineStr">
        <is>
          <t>판촉물·답례품·사은품·기념품 (핫팩, 손난로, 고급 수건 등 맞춤 제작)</t>
        </is>
      </c>
      <c r="K60" s="5" t="inlineStr">
        <is>
          <t>불명(검색결과에 중국 공장/지사 언급 없음)</t>
        </is>
      </c>
      <c r="L60" s="5" t="inlineStr">
        <is>
          <t>보험사 사은품용 핫팩·수건 등 맞춤 제작 소규모 판촉몰로 자체 생산망이 없어 저가 대량 품목의 중국 소싱 파트너가 필요할 수 있음(대표전화는 검색결과가 타사와 중복 표기되어 미기재).</t>
        </is>
      </c>
      <c r="M60" s="7" t="inlineStr">
        <is>
          <t>https://mangogift.co.kr/</t>
        </is>
      </c>
      <c r="N60" s="8" t="inlineStr"/>
      <c r="O60" s="8" t="inlineStr"/>
      <c r="P60" s="8" t="inlineStr"/>
      <c r="Q60" s="8" t="inlineStr"/>
      <c r="R60" s="8" t="inlineStr"/>
      <c r="S60" s="8" t="inlineStr"/>
      <c r="T60" s="8" t="inlineStr"/>
    </row>
    <row r="61">
      <c r="A61" s="5" t="n">
        <v>60</v>
      </c>
      <c r="B61" s="9" t="inlineStr">
        <is>
          <t>중</t>
        </is>
      </c>
      <c r="C61" s="5" t="inlineStr">
        <is>
          <t>아로기프트</t>
        </is>
      </c>
      <c r="D61" s="5" t="inlineStr">
        <is>
          <t>관공서·학교·금융·프랜차이즈 판촉 납품업체</t>
        </is>
      </c>
      <c r="E61" s="7" t="inlineStr">
        <is>
          <t>https://arogift.com/</t>
        </is>
      </c>
      <c r="F61" s="5" t="inlineStr">
        <is>
          <t>02-501-0774</t>
        </is>
      </c>
      <c r="G61" s="5" t="inlineStr">
        <is>
          <t>arogift@naver.com</t>
        </is>
      </c>
      <c r="H61" s="5" t="inlineStr"/>
      <c r="I61" s="5" t="inlineStr">
        <is>
          <t>서울 강남구</t>
        </is>
      </c>
      <c r="J61" s="5" t="inlineStr">
        <is>
          <t>판촉물·기념품·사은품·홍보물품·답례품 (학교 졸업/입학 기념품, 담요, 구급함, 쇼핑백, 메모보드 등)</t>
        </is>
      </c>
      <c r="K61" s="5" t="inlineStr">
        <is>
          <t>불명(검색결과에 중국 공장/지사 언급 없음)</t>
        </is>
      </c>
      <c r="L61" s="5" t="inlineStr">
        <is>
          <t>학교 기념품 검색에 노출되는 강남권 소규모 판촉몰로 자체 생산 언급이 없어 담요·구급함 등 범용 품목의 중국 소싱 파트너 활용 여지가 있음.</t>
        </is>
      </c>
      <c r="M61" s="7" t="inlineStr">
        <is>
          <t>https://arogift.com/</t>
        </is>
      </c>
      <c r="N61" s="8" t="inlineStr"/>
      <c r="O61" s="8" t="inlineStr"/>
      <c r="P61" s="8" t="inlineStr"/>
      <c r="Q61" s="8" t="inlineStr"/>
      <c r="R61" s="8" t="inlineStr"/>
      <c r="S61" s="8" t="inlineStr"/>
      <c r="T61" s="8" t="inlineStr"/>
    </row>
    <row r="62">
      <c r="A62" s="5" t="n">
        <v>61</v>
      </c>
      <c r="B62" s="9" t="inlineStr">
        <is>
          <t>중</t>
        </is>
      </c>
      <c r="C62" s="5" t="inlineStr">
        <is>
          <t>예스폼기프트</t>
        </is>
      </c>
      <c r="D62" s="5" t="inlineStr">
        <is>
          <t>관공서·학교·금융·프랜차이즈 판촉 납품업체</t>
        </is>
      </c>
      <c r="E62" s="7" t="inlineStr">
        <is>
          <t>https://www.yesformgift.com/</t>
        </is>
      </c>
      <c r="F62" s="5" t="inlineStr"/>
      <c r="G62" s="5" t="inlineStr"/>
      <c r="H62" s="5" t="inlineStr">
        <is>
          <t>https://find.yesformgift.com/sp/ (행사별 기념품 검색/주문제작)</t>
        </is>
      </c>
      <c r="I62" s="5" t="inlineStr"/>
      <c r="J62" s="5" t="inlineStr">
        <is>
          <t>졸업·입학선물 기념품, 단체선물 주문제작 (국내 최저가 표방)</t>
        </is>
      </c>
      <c r="K62" s="5" t="inlineStr">
        <is>
          <t>불명(사이트 접근 차단으로 확인 불가)</t>
        </is>
      </c>
      <c r="L62" s="5" t="inlineStr">
        <is>
          <t>서식 플랫폼 예스폼 계열의 기념품 주문제작몰로 졸업·입학 등 학교 행사 기념품을 최저가로 취급해 중국 소싱 파트너 수요가 있을 수 있으나 연락처는 미확인.</t>
        </is>
      </c>
      <c r="M62" s="7" t="inlineStr">
        <is>
          <t>https://find.yesformgift.com/sp/event_%C1%B9%BE%F7%7C%C0%D4%C7%D0%BC%B1%B9%B0/</t>
        </is>
      </c>
      <c r="N62" s="8" t="inlineStr"/>
      <c r="O62" s="8" t="inlineStr"/>
      <c r="P62" s="8" t="inlineStr"/>
      <c r="Q62" s="8" t="inlineStr"/>
      <c r="R62" s="8" t="inlineStr"/>
      <c r="S62" s="8" t="inlineStr"/>
      <c r="T62" s="8" t="inlineStr"/>
    </row>
    <row r="63">
      <c r="A63" s="5" t="n">
        <v>62</v>
      </c>
      <c r="B63" s="9" t="inlineStr">
        <is>
          <t>중</t>
        </is>
      </c>
      <c r="C63" s="5" t="inlineStr">
        <is>
          <t>위시판촉 (wishcar)</t>
        </is>
      </c>
      <c r="D63" s="5" t="inlineStr">
        <is>
          <t>관공서·학교·금융·프랜차이즈 판촉 납품업체</t>
        </is>
      </c>
      <c r="E63" s="7" t="inlineStr">
        <is>
          <t>https://wishcar.co.kr/</t>
        </is>
      </c>
      <c r="F63" s="5" t="inlineStr"/>
      <c r="G63" s="5" t="inlineStr"/>
      <c r="H63" s="5" t="inlineStr">
        <is>
          <t>https://wishcar.co.kr/shop/list.php?ca_id=081008 (프랜차이즈 판촉물 카테고리)</t>
        </is>
      </c>
      <c r="I63" s="5" t="inlineStr"/>
      <c r="J63" s="5" t="inlineStr">
        <is>
          <t>공공기관·지자체·협회·기업 행사 판촉물·기념품, 프랜차이즈 본사납품·가맹점 홍보 굿즈</t>
        </is>
      </c>
      <c r="K63" s="5" t="inlineStr">
        <is>
          <t>불명(사이트 접근 차단으로 확인 불가)</t>
        </is>
      </c>
      <c r="L63" s="5" t="inlineStr">
        <is>
          <t>언론(브랜드경제신문)에서 공공기관·지자체 행사 담당자용 판촉물 플랫폼으로 소개되고 프랜차이즈 본사납품 카테고리를 갖춰 중국 소싱 파트너 수요가 있을 수 있으나 연락처는 미확인.</t>
        </is>
      </c>
      <c r="M63" s="7" t="inlineStr">
        <is>
          <t>https://www.benews.co.kr/news/475927</t>
        </is>
      </c>
      <c r="N63" s="8" t="inlineStr"/>
      <c r="O63" s="8" t="inlineStr"/>
      <c r="P63" s="8" t="inlineStr"/>
      <c r="Q63" s="8" t="inlineStr"/>
      <c r="R63" s="8" t="inlineStr"/>
      <c r="S63" s="8" t="inlineStr"/>
      <c r="T63" s="8" t="inlineStr"/>
    </row>
    <row r="64">
      <c r="A64" s="5" t="n">
        <v>63</v>
      </c>
      <c r="B64" s="9" t="inlineStr">
        <is>
          <t>중</t>
        </is>
      </c>
      <c r="C64" s="5" t="inlineStr">
        <is>
          <t>제이기프트</t>
        </is>
      </c>
      <c r="D64" s="5" t="inlineStr">
        <is>
          <t>관공서·학교·금융·프랜차이즈 판촉 납품업체</t>
        </is>
      </c>
      <c r="E64" s="7" t="inlineStr">
        <is>
          <t>https://jgift.kr/</t>
        </is>
      </c>
      <c r="F64" s="5" t="inlineStr">
        <is>
          <t>070-8777-9371</t>
        </is>
      </c>
      <c r="G64" s="5" t="inlineStr"/>
      <c r="H64" s="5" t="inlineStr"/>
      <c r="I64" s="5" t="inlineStr">
        <is>
          <t>수원 권선구</t>
        </is>
      </c>
      <c r="J64" s="5" t="inlineStr">
        <is>
          <t>홍보판촉물 (USB, 보조배터리, 볼펜, 우산, 백팩·파우치, 경광봉·안전용품, 트로피, 비즈니스 선물세트)</t>
        </is>
      </c>
      <c r="K64" s="5" t="inlineStr">
        <is>
          <t>불명(검색결과에 중국 공장/지사 언급 없음)</t>
        </is>
      </c>
      <c r="L64" s="5" t="inlineStr">
        <is>
          <t>USB·보조배터리 등 전자 판촉물과 가방류를 주력으로 하는 수원 소재 소규모 판촉몰로 중국 생산 의존도가 높은 품목 구성이라 소싱 파트너 활용 가능성이 있음(공개 이메일이 개인 계정 형태라 미기재).</t>
        </is>
      </c>
      <c r="M64" s="7" t="inlineStr">
        <is>
          <t>https://jgift.kr/shop/view.php?index_no=749880</t>
        </is>
      </c>
      <c r="N64" s="8" t="inlineStr"/>
      <c r="O64" s="8" t="inlineStr"/>
      <c r="P64" s="8" t="inlineStr"/>
      <c r="Q64" s="8" t="inlineStr"/>
      <c r="R64" s="8" t="inlineStr"/>
      <c r="S64" s="8" t="inlineStr"/>
      <c r="T64" s="8" t="inlineStr"/>
    </row>
    <row r="65">
      <c r="A65" s="5" t="n">
        <v>64</v>
      </c>
      <c r="B65" s="9" t="inlineStr">
        <is>
          <t>중</t>
        </is>
      </c>
      <c r="C65" s="5" t="inlineStr">
        <is>
          <t>판촉물천국</t>
        </is>
      </c>
      <c r="D65" s="5" t="inlineStr">
        <is>
          <t>관공서·학교·금융·프랜차이즈 판촉 납품업체</t>
        </is>
      </c>
      <c r="E65" s="7" t="inlineStr">
        <is>
          <t>https://giftheaven.co.kr/</t>
        </is>
      </c>
      <c r="F65" s="5" t="inlineStr"/>
      <c r="G65" s="5" t="inlineStr"/>
      <c r="H65" s="5" t="inlineStr">
        <is>
          <t>https://panchokmool.co.kr/panchokmool-category/school-promotional-item/ (학교기념품 제작 카테고리)</t>
        </is>
      </c>
      <c r="I65" s="5" t="inlineStr"/>
      <c r="J65" s="5" t="inlineStr">
        <is>
          <t>학교 기념품·답례품 (USB, 보조배터리 등), 행사 판촉물</t>
        </is>
      </c>
      <c r="K65" s="5" t="inlineStr">
        <is>
          <t>불명(사이트 접근 차단으로 확인 불가)</t>
        </is>
      </c>
      <c r="L65" s="5" t="inlineStr">
        <is>
          <t>학교 기념품 전용 카테고리를 운영하며 USB·보조배터리 등 중국 생산 의존 품목을 학교 단체선물로 제안하는 업체라 중국 소싱 파트너 활용 여지가 있으나 연락처는 미확인.</t>
        </is>
      </c>
      <c r="M65" s="7" t="inlineStr">
        <is>
          <t>https://giftheaven.co.kr/gift/%ED%95%99%EA%B5%90-%EA%B8%B0%EB%85%90%ED%92%88/</t>
        </is>
      </c>
      <c r="N65" s="8" t="inlineStr"/>
      <c r="O65" s="8" t="inlineStr"/>
      <c r="P65" s="8" t="inlineStr"/>
      <c r="Q65" s="8" t="inlineStr"/>
      <c r="R65" s="8" t="inlineStr"/>
      <c r="S65" s="8" t="inlineStr"/>
      <c r="T65" s="8" t="inlineStr"/>
    </row>
    <row r="66">
      <c r="A66" s="5" t="n">
        <v>65</v>
      </c>
      <c r="B66" s="9" t="inlineStr">
        <is>
          <t>중</t>
        </is>
      </c>
      <c r="C66" s="5" t="inlineStr">
        <is>
          <t>(주)아이전시</t>
        </is>
      </c>
      <c r="D66" s="5" t="inlineStr">
        <is>
          <t>광고·BTL·행사대행사</t>
        </is>
      </c>
      <c r="E66" s="7" t="inlineStr">
        <is>
          <t>https://iex8808.cafe24.com</t>
        </is>
      </c>
      <c r="F66" s="5" t="inlineStr"/>
      <c r="G66" s="5" t="inlineStr"/>
      <c r="H66" s="5" t="inlineStr">
        <is>
          <t>https://iex8808.cafe24.com (견적·부스문의 게시판, 네이버톡톡)</t>
        </is>
      </c>
      <c r="I66" s="5" t="inlineStr"/>
      <c r="J66" s="5" t="inlineStr">
        <is>
          <t>전시부스, 학회부스, 박람회·이벤트 부스, 포토존, 블럭·패브릭 부스, 가판대·홍보·판촉 집기</t>
        </is>
      </c>
      <c r="K66" s="5" t="inlineStr">
        <is>
          <t>약함(부스 제작·설치 전문, 중국 거점 언급 없음)</t>
        </is>
      </c>
      <c r="L66" s="5" t="inlineStr">
        <is>
          <t>전시·학회·기업행사용 부스와 판촉 집기를 제작하는 업체로 포토존·가판대·판촉물 부자재를 대량 조달하기 때문에 중국 소싱 파트너 연계 가능성이 있다.</t>
        </is>
      </c>
      <c r="M66" s="7" t="inlineStr">
        <is>
          <t>https://iex8808.cafe24.com/ ; https://iex8808.cafe24.com/category/%EA%B0%80%ED%8C%90%EB%8C%80%C2%B7%ED%99%8D%EB%B3%B4%C2%B7%ED%8C%90%EC%B4%89%C2%B7%EB%8B%A4%ED%8A%B8/53/</t>
        </is>
      </c>
      <c r="N66" s="8" t="inlineStr"/>
      <c r="O66" s="8" t="inlineStr"/>
      <c r="P66" s="8" t="inlineStr"/>
      <c r="Q66" s="8" t="inlineStr"/>
      <c r="R66" s="8" t="inlineStr"/>
      <c r="S66" s="8" t="inlineStr"/>
      <c r="T66" s="8" t="inlineStr"/>
    </row>
    <row r="67">
      <c r="A67" s="5" t="n">
        <v>66</v>
      </c>
      <c r="B67" s="9" t="inlineStr">
        <is>
          <t>중</t>
        </is>
      </c>
      <c r="C67" s="5" t="inlineStr">
        <is>
          <t>(주)콤마엔터테인먼트</t>
        </is>
      </c>
      <c r="D67" s="5" t="inlineStr">
        <is>
          <t>광고·BTL·행사대행사</t>
        </is>
      </c>
      <c r="E67" s="7" t="inlineStr">
        <is>
          <t>https://www.comma-entertainment.com</t>
        </is>
      </c>
      <c r="F67" s="5" t="inlineStr">
        <is>
          <t>02-6319-6947</t>
        </is>
      </c>
      <c r="G67" s="5" t="inlineStr">
        <is>
          <t>info@comma-entertainment.com</t>
        </is>
      </c>
      <c r="H67" s="5" t="inlineStr">
        <is>
          <t>https://www.comma-entertainment.com/contact</t>
        </is>
      </c>
      <c r="I67" s="5" t="inlineStr">
        <is>
          <t>서울 강남구</t>
        </is>
      </c>
      <c r="J67" s="5" t="inlineStr">
        <is>
          <t>이벤트·컨벤션 대행, 콘서트, 프로모션, BTL 마케팅, 옥외광고, 해외 마케팅(인바운드·아웃바운드), SNS·인플루언서</t>
        </is>
      </c>
      <c r="K67" s="5" t="inlineStr">
        <is>
          <t>약함(해외 마케팅 대행사이나 중국 공장·지사 언급 없음)</t>
        </is>
      </c>
      <c r="L67" s="5" t="inlineStr">
        <is>
          <t>국내 기업의 해외 마케팅과 해외 기업의 국내 행사를 대행하는 글로벌 종합광고대행사로 행사·프로모션용 굿즈를 국경 간으로 조달·배송해야 해 중국 소싱·운송 일괄 파트너가 유용하다.</t>
        </is>
      </c>
      <c r="M67" s="7" t="inlineStr">
        <is>
          <t>https://www.comma-entertainment.com/contact ; https://www.comma-entertainment.com/experience</t>
        </is>
      </c>
      <c r="N67" s="8" t="inlineStr"/>
      <c r="O67" s="8" t="inlineStr"/>
      <c r="P67" s="8" t="inlineStr"/>
      <c r="Q67" s="8" t="inlineStr"/>
      <c r="R67" s="8" t="inlineStr"/>
      <c r="S67" s="8" t="inlineStr"/>
      <c r="T67" s="8" t="inlineStr"/>
    </row>
    <row r="68">
      <c r="A68" s="5" t="n">
        <v>67</v>
      </c>
      <c r="B68" s="9" t="inlineStr">
        <is>
          <t>중</t>
        </is>
      </c>
      <c r="C68" s="5" t="inlineStr">
        <is>
          <t>(주)크레픽스</t>
        </is>
      </c>
      <c r="D68" s="5" t="inlineStr">
        <is>
          <t>광고·BTL·행사대행사</t>
        </is>
      </c>
      <c r="E68" s="7" t="inlineStr">
        <is>
          <t>https://www.creaphics.com</t>
        </is>
      </c>
      <c r="F68" s="5" t="inlineStr">
        <is>
          <t>070-7604-5959</t>
        </is>
      </c>
      <c r="G68" s="5" t="inlineStr">
        <is>
          <t>jin@creaphics.com</t>
        </is>
      </c>
      <c r="H68" s="5" t="inlineStr">
        <is>
          <t>https://www.creaphics.com/24</t>
        </is>
      </c>
      <c r="I68" s="5" t="inlineStr">
        <is>
          <t>서울 구로구</t>
        </is>
      </c>
      <c r="J68" s="5" t="inlineStr">
        <is>
          <t>BTL 광고, 행사 대행, 프로모션, 광고물 제작</t>
        </is>
      </c>
      <c r="K68" s="5" t="inlineStr">
        <is>
          <t>약함(소규모 BTL 대행사, 자체 해외 거점 언급 없음)</t>
        </is>
      </c>
      <c r="L68" s="5" t="inlineStr">
        <is>
          <t>효율성을 내세우는 소형 BTL 광고회사로 자체 제작 인프라가 없어 행사 판촉물·굿즈를 저비용으로 조달해 줄 외부 소싱 파트너가 필요하다.</t>
        </is>
      </c>
      <c r="M68" s="7" t="inlineStr">
        <is>
          <t>https://www.creaphics.com/24</t>
        </is>
      </c>
      <c r="N68" s="8" t="inlineStr"/>
      <c r="O68" s="8" t="inlineStr"/>
      <c r="P68" s="8" t="inlineStr"/>
      <c r="Q68" s="8" t="inlineStr"/>
      <c r="R68" s="8" t="inlineStr"/>
      <c r="S68" s="8" t="inlineStr"/>
      <c r="T68" s="8" t="inlineStr"/>
    </row>
    <row r="69">
      <c r="A69" s="5" t="n">
        <v>68</v>
      </c>
      <c r="B69" s="9" t="inlineStr">
        <is>
          <t>중</t>
        </is>
      </c>
      <c r="C69" s="5" t="inlineStr">
        <is>
          <t>(주)탑스탠다드</t>
        </is>
      </c>
      <c r="D69" s="5" t="inlineStr">
        <is>
          <t>광고·BTL·행사대행사</t>
        </is>
      </c>
      <c r="E69" s="7" t="inlineStr">
        <is>
          <t>http://www.topstandard.co.kr</t>
        </is>
      </c>
      <c r="F69" s="5" t="inlineStr"/>
      <c r="G69" s="5" t="inlineStr"/>
      <c r="H69" s="5" t="inlineStr">
        <is>
          <t>http://www.topstandard.co.kr (홈페이지 문의)</t>
        </is>
      </c>
      <c r="I69" s="5" t="inlineStr">
        <is>
          <t>경기 광명시</t>
        </is>
      </c>
      <c r="J69" s="5" t="inlineStr">
        <is>
          <t>행사 진행 대행, 전시부스 제작·설치, 심포지엄·컨퍼런스·세미나, 기업행사, 행사용품 렌탈(탑렌탈)</t>
        </is>
      </c>
      <c r="K69" s="5" t="inlineStr">
        <is>
          <t>약함(국내 행사·전시 제작 대행, 중국 거점 언급 없음)</t>
        </is>
      </c>
      <c r="L69" s="5" t="inlineStr">
        <is>
          <t>2014년 설립된 행사 진행·전시부스 제작 종합대행사로 행사용품 렌탈 사업까지 운영해 행사물품을 직접 대량 구매하는 구조이므로 중국 소싱 파트너의 원가 절감 제안이 유효하다.</t>
        </is>
      </c>
      <c r="M69" s="7" t="inlineStr">
        <is>
          <t>http://www.topstandard.co.kr/ ; https://www.jobkorea.co.kr/recruit/co_read/c/topstandard</t>
        </is>
      </c>
      <c r="N69" s="8" t="inlineStr"/>
      <c r="O69" s="8" t="inlineStr"/>
      <c r="P69" s="8" t="inlineStr"/>
      <c r="Q69" s="8" t="inlineStr"/>
      <c r="R69" s="8" t="inlineStr"/>
      <c r="S69" s="8" t="inlineStr"/>
      <c r="T69" s="8" t="inlineStr"/>
    </row>
    <row r="70">
      <c r="A70" s="5" t="n">
        <v>69</v>
      </c>
      <c r="B70" s="9" t="inlineStr">
        <is>
          <t>중</t>
        </is>
      </c>
      <c r="C70" s="5" t="inlineStr">
        <is>
          <t>(주)펀잇컴퍼니(펀플랜)</t>
        </is>
      </c>
      <c r="D70" s="5" t="inlineStr">
        <is>
          <t>광고·BTL·행사대행사</t>
        </is>
      </c>
      <c r="E70" s="7" t="inlineStr">
        <is>
          <t>https://www.funplan.co.kr</t>
        </is>
      </c>
      <c r="F70" s="5" t="inlineStr"/>
      <c r="G70" s="5" t="inlineStr"/>
      <c r="H70" s="5" t="inlineStr">
        <is>
          <t>https://www.funplan.co.kr (홈페이지 문의) ; 인스타그램 @funplan.official</t>
        </is>
      </c>
      <c r="I70" s="5" t="inlineStr"/>
      <c r="J70" s="5" t="inlineStr">
        <is>
          <t>행사대행, 팝업스토어, 전시, 프로모션, 오프라인 BTL 행사</t>
        </is>
      </c>
      <c r="K70" s="5" t="inlineStr">
        <is>
          <t>약함(행사대행·팝업 전문, 중국 거점 언급 없음)</t>
        </is>
      </c>
      <c r="L70" s="5" t="inlineStr">
        <is>
          <t>팝업스토어와 전시·프로모션을 전문으로 하는 행사대행사로 팝업 집기·굿즈·사은품을 매 프로젝트마다 외주 제작해야 하므로 중국 소싱 대행 수요가 크다.</t>
        </is>
      </c>
      <c r="M70" s="7" t="inlineStr">
        <is>
          <t>https://www.funplan.co.kr/</t>
        </is>
      </c>
      <c r="N70" s="8" t="inlineStr"/>
      <c r="O70" s="8" t="inlineStr"/>
      <c r="P70" s="8" t="inlineStr"/>
      <c r="Q70" s="8" t="inlineStr"/>
      <c r="R70" s="8" t="inlineStr"/>
      <c r="S70" s="8" t="inlineStr"/>
      <c r="T70" s="8" t="inlineStr"/>
    </row>
    <row r="71">
      <c r="A71" s="5" t="n">
        <v>70</v>
      </c>
      <c r="B71" s="9" t="inlineStr">
        <is>
          <t>중</t>
        </is>
      </c>
      <c r="C71" s="5" t="inlineStr">
        <is>
          <t>성심코퍼레이션</t>
        </is>
      </c>
      <c r="D71" s="5" t="inlineStr">
        <is>
          <t>광고·BTL·행사대행사</t>
        </is>
      </c>
      <c r="E71" s="7" t="inlineStr">
        <is>
          <t>https://www.sscomkor.com</t>
        </is>
      </c>
      <c r="F71" s="5" t="inlineStr"/>
      <c r="G71" s="5" t="inlineStr"/>
      <c r="H71" s="5" t="inlineStr">
        <is>
          <t>카카오톡 채널 @성심코퍼레이션 ; https://www.sscomkor.com/aboutus</t>
        </is>
      </c>
      <c r="I71" s="5" t="inlineStr"/>
      <c r="J71" s="5" t="inlineStr">
        <is>
          <t>전시회 기획·운영, 소규모·호텔 행사, 기업행사, 독립부스, 팝업스토어 대행, 홍보월·포토존·족자봉 제작</t>
        </is>
      </c>
      <c r="K71" s="5" t="inlineStr">
        <is>
          <t>약함(전시·행사 대행 전문, 중국 거점 언급 없음)</t>
        </is>
      </c>
      <c r="L71" s="5" t="inlineStr">
        <is>
          <t>전시회·팝업스토어·기업행사를 기획부터 설치·운영까지 일괄 대행하면서 홍보월·포토존 등 연출물을 자체 제작하므로 행사 소품·기념품의 중국 소싱 파트너가 필요하다.</t>
        </is>
      </c>
      <c r="M71" s="7" t="inlineStr">
        <is>
          <t>https://www.sscomkor.com/aboutus ; https://www.sscomkor.com/shop/?idx=27</t>
        </is>
      </c>
      <c r="N71" s="8" t="inlineStr"/>
      <c r="O71" s="8" t="inlineStr"/>
      <c r="P71" s="8" t="inlineStr"/>
      <c r="Q71" s="8" t="inlineStr"/>
      <c r="R71" s="8" t="inlineStr"/>
      <c r="S71" s="8" t="inlineStr"/>
      <c r="T71" s="8" t="inlineStr"/>
    </row>
    <row r="72">
      <c r="A72" s="5" t="n">
        <v>71</v>
      </c>
      <c r="B72" s="9" t="inlineStr">
        <is>
          <t>중</t>
        </is>
      </c>
      <c r="C72" s="5" t="inlineStr">
        <is>
          <t>아이스큐브(광고대행사 아이스큐브)</t>
        </is>
      </c>
      <c r="D72" s="5" t="inlineStr">
        <is>
          <t>광고·BTL·행사대행사</t>
        </is>
      </c>
      <c r="E72" s="7" t="inlineStr">
        <is>
          <t>https://www.icecubecom.co.kr</t>
        </is>
      </c>
      <c r="F72" s="5" t="inlineStr"/>
      <c r="G72" s="5" t="inlineStr"/>
      <c r="H72" s="5" t="inlineStr">
        <is>
          <t>https://www.icecubecom.co.kr (홈페이지 문의)</t>
        </is>
      </c>
      <c r="I72" s="5" t="inlineStr"/>
      <c r="J72" s="5" t="inlineStr">
        <is>
          <t>BTL, 신제품 런칭쇼, 팝업스토어, 팬미팅, 콘서트, 기업교육·기업문화 콘텐츠, 영상제작</t>
        </is>
      </c>
      <c r="K72" s="5" t="inlineStr">
        <is>
          <t>약함(마케팅 전문 대행사, 중국 거점 언급 없음)</t>
        </is>
      </c>
      <c r="L72" s="5" t="inlineStr">
        <is>
          <t>신제품 런칭쇼·팝업스토어·팬미팅 등 굿즈 소비가 많은 행사를 전문으로 하는 마케팅 대행사로, 자체 제조 기반이 없어 굿즈 생산 소싱 파트너의 효용이 크다.</t>
        </is>
      </c>
      <c r="M72" s="7" t="inlineStr">
        <is>
          <t>https://www.icecubecom.co.kr/BUSINESS</t>
        </is>
      </c>
      <c r="N72" s="8" t="inlineStr"/>
      <c r="O72" s="8" t="inlineStr"/>
      <c r="P72" s="8" t="inlineStr"/>
      <c r="Q72" s="8" t="inlineStr"/>
      <c r="R72" s="8" t="inlineStr"/>
      <c r="S72" s="8" t="inlineStr"/>
      <c r="T72" s="8" t="inlineStr"/>
    </row>
    <row r="73">
      <c r="A73" s="5" t="n">
        <v>72</v>
      </c>
      <c r="B73" s="9" t="inlineStr">
        <is>
          <t>중</t>
        </is>
      </c>
      <c r="C73" s="5" t="inlineStr">
        <is>
          <t>애드넷</t>
        </is>
      </c>
      <c r="D73" s="5" t="inlineStr">
        <is>
          <t>광고·BTL·행사대행사</t>
        </is>
      </c>
      <c r="E73" s="7" t="inlineStr">
        <is>
          <t>https://ad119.com</t>
        </is>
      </c>
      <c r="F73" s="5" t="inlineStr">
        <is>
          <t>02-831-4871</t>
        </is>
      </c>
      <c r="G73" s="5" t="inlineStr">
        <is>
          <t>ad8282@hanmail.net</t>
        </is>
      </c>
      <c r="H73" s="5" t="inlineStr">
        <is>
          <t>https://ad119.com</t>
        </is>
      </c>
      <c r="I73" s="5" t="inlineStr">
        <is>
          <t>서울 금천구</t>
        </is>
      </c>
      <c r="J73" s="5" t="inlineStr">
        <is>
          <t>친환경 전시부스 제작, 행사·컨퍼런스 디스플레이, 포토존, 배너거치대, 진열대, 인쇄·홍보물</t>
        </is>
      </c>
      <c r="K73" s="5" t="inlineStr">
        <is>
          <t>약함(전시부스·디스플레이 제작 전문, 중국 거점 언급 없음)</t>
        </is>
      </c>
      <c r="L73" s="5" t="inlineStr">
        <is>
          <t>전시부스와 배너거치대·진열대 등 행사 디스플레이 용품을 판매·제작하는 업체로 표준 행사물품을 중국에서 저가 소싱해 마진을 개선할 수요가 있다.</t>
        </is>
      </c>
      <c r="M73" s="7" t="inlineStr">
        <is>
          <t>https://ad119.com/ ; https://ad119.com/55/?idx=115</t>
        </is>
      </c>
      <c r="N73" s="8" t="inlineStr"/>
      <c r="O73" s="8" t="inlineStr"/>
      <c r="P73" s="8" t="inlineStr"/>
      <c r="Q73" s="8" t="inlineStr"/>
      <c r="R73" s="8" t="inlineStr"/>
      <c r="S73" s="8" t="inlineStr"/>
      <c r="T73" s="8" t="inlineStr"/>
    </row>
    <row r="74">
      <c r="A74" s="5" t="n">
        <v>73</v>
      </c>
      <c r="B74" s="9" t="inlineStr">
        <is>
          <t>중</t>
        </is>
      </c>
      <c r="C74" s="5" t="inlineStr">
        <is>
          <t>이상기획</t>
        </is>
      </c>
      <c r="D74" s="5" t="inlineStr">
        <is>
          <t>광고·BTL·행사대행사</t>
        </is>
      </c>
      <c r="E74" s="7" t="inlineStr">
        <is>
          <t>https://www.mothid.com</t>
        </is>
      </c>
      <c r="F74" s="5" t="inlineStr"/>
      <c r="G74" s="5" t="inlineStr"/>
      <c r="H74" s="5" t="inlineStr">
        <is>
          <t>https://www.mothid.com/promotion (홈페이지 문의)</t>
        </is>
      </c>
      <c r="I74" s="5" t="inlineStr"/>
      <c r="J74" s="5" t="inlineStr">
        <is>
          <t>기업행사, 공모전, 제품설명회, 쇼케이스, 프로모션·BTL 대행, 컨벤션, 전시회·박람회, 팝업스토어</t>
        </is>
      </c>
      <c r="K74" s="5" t="inlineStr">
        <is>
          <t>약함(행사·프로모션 대행 전문, 중국 거점 언급 없음)</t>
        </is>
      </c>
      <c r="L74" s="5" t="inlineStr">
        <is>
          <t>제품설명회·쇼케이스·팝업스토어 등 다양한 기업행사를 대행하는 기획사로 행사별 맞춤 굿즈·판촉물을 외주로 조달해야 해 샘플부터 검수·운송까지 맡길 파트너가 필요하다.</t>
        </is>
      </c>
      <c r="M74" s="7" t="inlineStr">
        <is>
          <t>https://www.mothid.com/promotion</t>
        </is>
      </c>
      <c r="N74" s="8" t="inlineStr"/>
      <c r="O74" s="8" t="inlineStr"/>
      <c r="P74" s="8" t="inlineStr"/>
      <c r="Q74" s="8" t="inlineStr"/>
      <c r="R74" s="8" t="inlineStr"/>
      <c r="S74" s="8" t="inlineStr"/>
      <c r="T74" s="8" t="inlineStr"/>
    </row>
    <row r="75">
      <c r="A75" s="5" t="n">
        <v>74</v>
      </c>
      <c r="B75" s="9" t="inlineStr">
        <is>
          <t>중</t>
        </is>
      </c>
      <c r="C75" s="5" t="inlineStr">
        <is>
          <t>플레이스컴(PLACECOM)</t>
        </is>
      </c>
      <c r="D75" s="5" t="inlineStr">
        <is>
          <t>광고·BTL·행사대행사</t>
        </is>
      </c>
      <c r="E75" s="7" t="inlineStr">
        <is>
          <t>https://www.placecom.co.kr</t>
        </is>
      </c>
      <c r="F75" s="5" t="inlineStr"/>
      <c r="G75" s="5" t="inlineStr"/>
      <c r="H75" s="5" t="inlineStr">
        <is>
          <t>https://www.placecom.co.kr/%ED%9A%8C%EC%82%AC%EC%86%8C%EA%B0%9C (홈페이지 문의)</t>
        </is>
      </c>
      <c r="I75" s="5" t="inlineStr"/>
      <c r="J75" s="5" t="inlineStr">
        <is>
          <t>팝업스토어 기획·제작·운영, 팝업스토어 장소 대관(광화문·청계광장 등), BTL 프로모션</t>
        </is>
      </c>
      <c r="K75" s="5" t="inlineStr">
        <is>
          <t>약함(팝업스토어 제작·운영 전문, 중국 거점 언급 없음)</t>
        </is>
      </c>
      <c r="L75" s="5" t="inlineStr">
        <is>
          <t>팝업스토어 장소 대관과 제작·운영을 함께 하는 BTL 전문사로 팝업마다 집기·굿즈·사은품을 새로 제작해야 하므로 중국 소싱·생산 대행 파트너 수요가 지속적이다.</t>
        </is>
      </c>
      <c r="M75" s="7" t="inlineStr">
        <is>
          <t>https://www.placecom.co.kr/%ED%9A%8C%EC%82%AC%EC%86%8C%EA%B0%9C</t>
        </is>
      </c>
      <c r="N75" s="8" t="inlineStr"/>
      <c r="O75" s="8" t="inlineStr"/>
      <c r="P75" s="8" t="inlineStr"/>
      <c r="Q75" s="8" t="inlineStr"/>
      <c r="R75" s="8" t="inlineStr"/>
      <c r="S75" s="8" t="inlineStr"/>
      <c r="T75" s="8" t="inlineStr"/>
    </row>
    <row r="76">
      <c r="A76" s="5" t="n">
        <v>75</v>
      </c>
      <c r="B76" s="9" t="inlineStr">
        <is>
          <t>중</t>
        </is>
      </c>
      <c r="C76" s="5" t="inlineStr">
        <is>
          <t>순풍</t>
        </is>
      </c>
      <c r="D76" s="5" t="inlineStr">
        <is>
          <t>무역·소싱대행·수입도매</t>
        </is>
      </c>
      <c r="E76" s="7" t="inlineStr">
        <is>
          <t>https://soonfung.com</t>
        </is>
      </c>
      <c r="F76" s="5" t="inlineStr"/>
      <c r="G76" s="5" t="inlineStr"/>
      <c r="H76" s="5" t="inlineStr">
        <is>
          <t>https://soonfung.com/</t>
        </is>
      </c>
      <c r="I76" s="5" t="inlineStr"/>
      <c r="J76" s="5" t="inlineStr">
        <is>
          <t>중국구매대행, OEM·ODM, 배송대행(배대지), 병행수입, 도매</t>
        </is>
      </c>
      <c r="K76" s="5" t="inlineStr">
        <is>
          <t>불명(구매대행·배대지 운영 표방, 자체 공장 여부 미확인)</t>
        </is>
      </c>
      <c r="L76" s="5" t="inlineStr">
        <is>
          <t>구매대행·배대지 중심 소규모 업체로 OEM 공장 수배는 외부 제조 파트너와 협업할 가능성이 있다.</t>
        </is>
      </c>
      <c r="M76" s="7" t="inlineStr">
        <is>
          <t>https://soonfung.com/</t>
        </is>
      </c>
      <c r="N76" s="8" t="inlineStr"/>
      <c r="O76" s="8" t="inlineStr"/>
      <c r="P76" s="8" t="inlineStr"/>
      <c r="Q76" s="8" t="inlineStr"/>
      <c r="R76" s="8" t="inlineStr"/>
      <c r="S76" s="8" t="inlineStr"/>
      <c r="T76" s="8" t="inlineStr"/>
    </row>
    <row r="77">
      <c r="A77" s="5" t="n">
        <v>76</v>
      </c>
      <c r="B77" s="9" t="inlineStr">
        <is>
          <t>중</t>
        </is>
      </c>
      <c r="C77" s="5" t="inlineStr">
        <is>
          <t>차이나바이((주)융일)</t>
        </is>
      </c>
      <c r="D77" s="5" t="inlineStr">
        <is>
          <t>무역·소싱대행·수입도매</t>
        </is>
      </c>
      <c r="E77" s="7" t="inlineStr">
        <is>
          <t>https://www.chinabuy.co.kr</t>
        </is>
      </c>
      <c r="F77" s="5" t="inlineStr">
        <is>
          <t>070-8682-6565</t>
        </is>
      </c>
      <c r="G77" s="5" t="inlineStr"/>
      <c r="H77" s="5" t="inlineStr">
        <is>
          <t>https://chinabuy.off.co.kr/board/list?bname=notice</t>
        </is>
      </c>
      <c r="I77" s="5" t="inlineStr">
        <is>
          <t>서울 강남구</t>
        </is>
      </c>
      <c r="J77" s="5" t="inlineStr">
        <is>
          <t>중국구매대행(알리바바·1688·타오바오), 배송대행</t>
        </is>
      </c>
      <c r="K77" s="5" t="inlineStr">
        <is>
          <t>불명(B2C 구매·배송대행 중심, 자체 공장·지사 여부 미확인)</t>
        </is>
      </c>
      <c r="L77" s="5" t="inlineStr">
        <is>
          <t>개인 구매대행 위주라 OEM·대량 공장 소싱 의뢰가 들어올 때 외부 파트너와 협업할 여지가 있다.</t>
        </is>
      </c>
      <c r="M77" s="7" t="inlineStr">
        <is>
          <t>https://www.chinabuy.co.kr/</t>
        </is>
      </c>
      <c r="N77" s="8" t="inlineStr"/>
      <c r="O77" s="8" t="inlineStr"/>
      <c r="P77" s="8" t="inlineStr"/>
      <c r="Q77" s="8" t="inlineStr"/>
      <c r="R77" s="8" t="inlineStr"/>
      <c r="S77" s="8" t="inlineStr"/>
      <c r="T77" s="8" t="inlineStr"/>
    </row>
    <row r="78">
      <c r="A78" s="5" t="n">
        <v>77</v>
      </c>
      <c r="B78" s="9" t="inlineStr">
        <is>
          <t>중</t>
        </is>
      </c>
      <c r="C78" s="5" t="inlineStr">
        <is>
          <t>기프트앤돌</t>
        </is>
      </c>
      <c r="D78" s="5" t="inlineStr">
        <is>
          <t>소규모 판촉물·패키징 중개벤더</t>
        </is>
      </c>
      <c r="E78" s="7" t="inlineStr">
        <is>
          <t>https://giftanddoll.co.kr</t>
        </is>
      </c>
      <c r="F78" s="5" t="inlineStr">
        <is>
          <t>031-848-2073</t>
        </is>
      </c>
      <c r="G78" s="5" t="inlineStr"/>
      <c r="H78" s="5" t="inlineStr">
        <is>
          <t>https://giftanddoll.co.kr/board/%EA%B0%A4%EB%9F%AC%EB%A6%AC/8/</t>
        </is>
      </c>
      <c r="I78" s="5" t="inlineStr">
        <is>
          <t>경기 양주시</t>
        </is>
      </c>
      <c r="J78" s="5" t="inlineStr">
        <is>
          <t>캐릭터 인형·아이돌 인형·봉제 굿즈 주문제작</t>
        </is>
      </c>
      <c r="K78" s="5" t="inlineStr">
        <is>
          <t>불명 — 중국 공장 관련 언급 확인 안 됨</t>
        </is>
      </c>
      <c r="L78" s="5" t="inlineStr">
        <is>
          <t>기업·엔터사 대상 캐릭터 인형 굿즈 주문제작 소규모 법인으로 봉제 OEM 중국 소싱 협업 가능.</t>
        </is>
      </c>
      <c r="M78" s="7" t="inlineStr">
        <is>
          <t>https://giftanddoll.co.kr/</t>
        </is>
      </c>
      <c r="N78" s="8" t="inlineStr"/>
      <c r="O78" s="8" t="inlineStr"/>
      <c r="P78" s="8" t="inlineStr"/>
      <c r="Q78" s="8" t="inlineStr"/>
      <c r="R78" s="8" t="inlineStr"/>
      <c r="S78" s="8" t="inlineStr"/>
      <c r="T78" s="8" t="inlineStr"/>
    </row>
    <row r="79">
      <c r="A79" s="5" t="n">
        <v>78</v>
      </c>
      <c r="B79" s="9" t="inlineStr">
        <is>
          <t>중</t>
        </is>
      </c>
      <c r="C79" s="5" t="inlineStr">
        <is>
          <t>다이렉트기프트(디앤지컴퍼니)</t>
        </is>
      </c>
      <c r="D79" s="5" t="inlineStr">
        <is>
          <t>소규모 판촉물·패키징 중개벤더</t>
        </is>
      </c>
      <c r="E79" s="7" t="inlineStr">
        <is>
          <t>https://www.directgift.co.kr</t>
        </is>
      </c>
      <c r="F79" s="5" t="inlineStr">
        <is>
          <t>02-382-4046</t>
        </is>
      </c>
      <c r="G79" s="5" t="inlineStr">
        <is>
          <t>directgift@naver.com</t>
        </is>
      </c>
      <c r="H79" s="5" t="inlineStr">
        <is>
          <t>https://www.directgift.co.kr/.new/info.asp</t>
        </is>
      </c>
      <c r="I79" s="5" t="inlineStr"/>
      <c r="J79" s="5" t="inlineStr">
        <is>
          <t>판촉물·잡화 전반, 로고 인쇄 기념품</t>
        </is>
      </c>
      <c r="K79" s="5" t="inlineStr">
        <is>
          <t>약함 — '제조공장에서 직접 공급받아' 판매한다고만 표기, 자체 공장·중국 지사 언급 없음</t>
        </is>
      </c>
      <c r="L79" s="5" t="inlineStr">
        <is>
          <t>판촉물·잡화를 제조공장에서 받아 기업에 공급하는 소규모 중개 벤더로 중국 공급처 다변화 수요 가능.</t>
        </is>
      </c>
      <c r="M79" s="7" t="inlineStr">
        <is>
          <t>https://www.directgift.co.kr/.new/info.asp</t>
        </is>
      </c>
      <c r="N79" s="8" t="inlineStr"/>
      <c r="O79" s="8" t="inlineStr"/>
      <c r="P79" s="8" t="inlineStr"/>
      <c r="Q79" s="8" t="inlineStr"/>
      <c r="R79" s="8" t="inlineStr"/>
      <c r="S79" s="8" t="inlineStr"/>
      <c r="T79" s="8" t="inlineStr"/>
    </row>
    <row r="80">
      <c r="A80" s="5" t="n">
        <v>79</v>
      </c>
      <c r="B80" s="9" t="inlineStr">
        <is>
          <t>중</t>
        </is>
      </c>
      <c r="C80" s="5" t="inlineStr">
        <is>
          <t>대한기념품</t>
        </is>
      </c>
      <c r="D80" s="5" t="inlineStr">
        <is>
          <t>소규모 판촉물·패키징 중개벤더</t>
        </is>
      </c>
      <c r="E80" s="7" t="inlineStr">
        <is>
          <t>https://daehangift.co.kr</t>
        </is>
      </c>
      <c r="F80" s="5" t="inlineStr">
        <is>
          <t>1600-9034</t>
        </is>
      </c>
      <c r="G80" s="5" t="inlineStr">
        <is>
          <t>16009034@daehangift.co.kr</t>
        </is>
      </c>
      <c r="H80" s="5" t="inlineStr">
        <is>
          <t>https://daehangift.co.kr/</t>
        </is>
      </c>
      <c r="I80" s="5" t="inlineStr">
        <is>
          <t>대구 남구</t>
        </is>
      </c>
      <c r="J80" s="5" t="inlineStr">
        <is>
          <t>텀블러·노트북파우치·여행용세트·쉐이커보틀 등 기업 판촉물·기념품 로고 인쇄</t>
        </is>
      </c>
      <c r="K80" s="5" t="inlineStr">
        <is>
          <t>불명 — 자체 공장·중국 소싱 언급 없음</t>
        </is>
      </c>
      <c r="L80" s="5" t="inlineStr">
        <is>
          <t>대구 소재 개인사업자 판촉물·기념품 쇼핑몰로 서울권 밖이지만 파우치·텀블러 등 중국 OEM 품목 비중이 큼.</t>
        </is>
      </c>
      <c r="M80" s="7" t="inlineStr">
        <is>
          <t>https://daehangift.co.kr/</t>
        </is>
      </c>
      <c r="N80" s="8" t="inlineStr"/>
      <c r="O80" s="8" t="inlineStr"/>
      <c r="P80" s="8" t="inlineStr"/>
      <c r="Q80" s="8" t="inlineStr"/>
      <c r="R80" s="8" t="inlineStr"/>
      <c r="S80" s="8" t="inlineStr"/>
      <c r="T80" s="8" t="inlineStr"/>
    </row>
    <row r="81">
      <c r="A81" s="5" t="n">
        <v>80</v>
      </c>
      <c r="B81" s="9" t="inlineStr">
        <is>
          <t>중</t>
        </is>
      </c>
      <c r="C81" s="5" t="inlineStr">
        <is>
          <t>레드기프트</t>
        </is>
      </c>
      <c r="D81" s="5" t="inlineStr">
        <is>
          <t>소규모 판촉물·패키징 중개벤더</t>
        </is>
      </c>
      <c r="E81" s="7" t="inlineStr">
        <is>
          <t>https://redgift.kr</t>
        </is>
      </c>
      <c r="F81" s="5" t="inlineStr">
        <is>
          <t>02-521-6667</t>
        </is>
      </c>
      <c r="G81" s="5" t="inlineStr">
        <is>
          <t>87@redlooz.co.kr</t>
        </is>
      </c>
      <c r="H81" s="5" t="inlineStr">
        <is>
          <t>https://redgift.kr/</t>
        </is>
      </c>
      <c r="I81" s="5" t="inlineStr">
        <is>
          <t>서울 광진구</t>
        </is>
      </c>
      <c r="J81" s="5" t="inlineStr">
        <is>
          <t>텀블러·사무문구·주방용품·선물세트 등 판촉물 도매·로고 인쇄 제작</t>
        </is>
      </c>
      <c r="K81" s="5" t="inlineStr">
        <is>
          <t>불명 — 자체 공장·중국 소싱 언급 없음</t>
        </is>
      </c>
      <c r="L81" s="5" t="inlineStr">
        <is>
          <t>광진구 소재 개인사업자 판촉물 도매·인쇄 벤더로 기업 행사·답례품 소량 주문을 취급함.</t>
        </is>
      </c>
      <c r="M81" s="7" t="inlineStr">
        <is>
          <t>https://bizno.net/article/2966400466</t>
        </is>
      </c>
      <c r="N81" s="8" t="inlineStr"/>
      <c r="O81" s="8" t="inlineStr"/>
      <c r="P81" s="8" t="inlineStr"/>
      <c r="Q81" s="8" t="inlineStr"/>
      <c r="R81" s="8" t="inlineStr"/>
      <c r="S81" s="8" t="inlineStr"/>
      <c r="T81" s="8" t="inlineStr"/>
    </row>
    <row r="82">
      <c r="A82" s="5" t="n">
        <v>81</v>
      </c>
      <c r="B82" s="9" t="inlineStr">
        <is>
          <t>중</t>
        </is>
      </c>
      <c r="C82" s="5" t="inlineStr">
        <is>
          <t>마이선물</t>
        </is>
      </c>
      <c r="D82" s="5" t="inlineStr">
        <is>
          <t>소규모 판촉물·패키징 중개벤더</t>
        </is>
      </c>
      <c r="E82" s="7" t="inlineStr">
        <is>
          <t>https://mysunmul.com</t>
        </is>
      </c>
      <c r="F82" s="5" t="inlineStr">
        <is>
          <t>031-981-0588</t>
        </is>
      </c>
      <c r="G82" s="5" t="inlineStr"/>
      <c r="H82" s="5" t="inlineStr">
        <is>
          <t>https://mysunmul.com/category/100%EA%B0%9C-%EB%AF%B8%EB%A7%8C-%EC%86%8C%EB%9F%89%EC%A0%9C%EC%9E%91/120/</t>
        </is>
      </c>
      <c r="I82" s="5" t="inlineStr">
        <is>
          <t>경기 고양시 일산서구</t>
        </is>
      </c>
      <c r="J82" s="5" t="inlineStr">
        <is>
          <t>텀블러·마이보틀·보조배터리·미니가습기 등 판촉물 소량(100개 미만) 주문제작</t>
        </is>
      </c>
      <c r="K82" s="5" t="inlineStr">
        <is>
          <t>약함 — 텀블러 '100% 국내생산' 강조, 중국 소싱 언급 없음</t>
        </is>
      </c>
      <c r="L82" s="5" t="inlineStr">
        <is>
          <t>고양 소재 소규모 판촉물 벤더로 국내생산 텀블러 위주지만 디지털 가전 등 보완 품목의 중국 소싱 협업 여지 있음.</t>
        </is>
      </c>
      <c r="M82" s="7" t="inlineStr">
        <is>
          <t>https://mysunmul.com/</t>
        </is>
      </c>
      <c r="N82" s="8" t="inlineStr"/>
      <c r="O82" s="8" t="inlineStr"/>
      <c r="P82" s="8" t="inlineStr"/>
      <c r="Q82" s="8" t="inlineStr"/>
      <c r="R82" s="8" t="inlineStr"/>
      <c r="S82" s="8" t="inlineStr"/>
      <c r="T82" s="8" t="inlineStr"/>
    </row>
    <row r="83">
      <c r="A83" s="5" t="n">
        <v>82</v>
      </c>
      <c r="B83" s="9" t="inlineStr">
        <is>
          <t>중</t>
        </is>
      </c>
      <c r="C83" s="5" t="inlineStr">
        <is>
          <t>에이블러(에이블코리아)</t>
        </is>
      </c>
      <c r="D83" s="5" t="inlineStr">
        <is>
          <t>소규모 판촉물·패키징 중개벤더</t>
        </is>
      </c>
      <c r="E83" s="7" t="inlineStr">
        <is>
          <t>https://ablerkorea.com</t>
        </is>
      </c>
      <c r="F83" s="5" t="inlineStr">
        <is>
          <t>031-983-8419</t>
        </is>
      </c>
      <c r="G83" s="5" t="inlineStr">
        <is>
          <t>ak0615@ablerkorea.com</t>
        </is>
      </c>
      <c r="H83" s="5" t="inlineStr">
        <is>
          <t>https://ablerkorea.com/shopinfo/guide.html</t>
        </is>
      </c>
      <c r="I83" s="5" t="inlineStr">
        <is>
          <t>경기 김포시</t>
        </is>
      </c>
      <c r="J83" s="5" t="inlineStr">
        <is>
          <t>텀블러·보틀 로고 레이저/실크 인쇄 주문제작, 소량~대량 판촉물</t>
        </is>
      </c>
      <c r="K83" s="5" t="inlineStr">
        <is>
          <t>불명 — 자체 공장·중국 소싱 언급 없음</t>
        </is>
      </c>
      <c r="L83" s="5" t="inlineStr">
        <is>
          <t>김포 소재 텀블러·보틀 전문 소규모 판촉물 벤더로 기업 로고 인쇄 대량·소량 주문을 취급함.</t>
        </is>
      </c>
      <c r="M83" s="7" t="inlineStr">
        <is>
          <t>https://ablerkorea.com/</t>
        </is>
      </c>
      <c r="N83" s="8" t="inlineStr"/>
      <c r="O83" s="8" t="inlineStr"/>
      <c r="P83" s="8" t="inlineStr"/>
      <c r="Q83" s="8" t="inlineStr"/>
      <c r="R83" s="8" t="inlineStr"/>
      <c r="S83" s="8" t="inlineStr"/>
      <c r="T83" s="8" t="inlineStr"/>
    </row>
    <row r="84">
      <c r="A84" s="5" t="n">
        <v>83</v>
      </c>
      <c r="B84" s="9" t="inlineStr">
        <is>
          <t>중</t>
        </is>
      </c>
      <c r="C84" s="5" t="inlineStr">
        <is>
          <t>커스텀랜드(허스크)</t>
        </is>
      </c>
      <c r="D84" s="5" t="inlineStr">
        <is>
          <t>소규모 판촉물·패키징 중개벤더</t>
        </is>
      </c>
      <c r="E84" s="7" t="inlineStr">
        <is>
          <t>https://www.customland.kr</t>
        </is>
      </c>
      <c r="F84" s="5" t="inlineStr">
        <is>
          <t>031-477-9100</t>
        </is>
      </c>
      <c r="G84" s="5" t="inlineStr"/>
      <c r="H84" s="5" t="inlineStr">
        <is>
          <t>https://pf.kakao.com/_RxkxfjG</t>
        </is>
      </c>
      <c r="I84" s="5" t="inlineStr">
        <is>
          <t>경기 군포시</t>
        </is>
      </c>
      <c r="J84" s="5" t="inlineStr">
        <is>
          <t>커스텀 굿즈(의류·잡화·문구) 소량 제작, 기업 로고 굿즈</t>
        </is>
      </c>
      <c r="K84" s="5" t="inlineStr">
        <is>
          <t>약함 — 국내 약 550평 직영 공장 보유, 중국 공장·지사 언급 없음</t>
        </is>
      </c>
      <c r="L84" s="5" t="inlineStr">
        <is>
          <t>국내 직영 공장으로 소량 커스텀 굿즈를 만드는 업체라 국내 미생산 품목(텀블러·패키지 등)의 중국 소싱 보완 수요 가능.</t>
        </is>
      </c>
      <c r="M84" s="7" t="inlineStr">
        <is>
          <t>https://www.customland.kr/</t>
        </is>
      </c>
      <c r="N84" s="8" t="inlineStr"/>
      <c r="O84" s="8" t="inlineStr"/>
      <c r="P84" s="8" t="inlineStr"/>
      <c r="Q84" s="8" t="inlineStr"/>
      <c r="R84" s="8" t="inlineStr"/>
      <c r="S84" s="8" t="inlineStr"/>
      <c r="T84" s="8" t="inlineStr"/>
    </row>
    <row r="85">
      <c r="A85" s="5" t="n">
        <v>84</v>
      </c>
      <c r="B85" s="9" t="inlineStr">
        <is>
          <t>중</t>
        </is>
      </c>
      <c r="C85" s="5" t="inlineStr">
        <is>
          <t>(주)대연이엔티 (B2B 스포츠 도매몰)</t>
        </is>
      </c>
      <c r="D85" s="5" t="inlineStr">
        <is>
          <t>스포츠·헬스·재활용품 유통사/OEM브랜드</t>
        </is>
      </c>
      <c r="E85" s="7" t="inlineStr">
        <is>
          <t>https://www.dy-sports.com</t>
        </is>
      </c>
      <c r="F85" s="5" t="inlineStr"/>
      <c r="G85" s="5" t="inlineStr"/>
      <c r="H85" s="5" t="inlineStr">
        <is>
          <t>https://www.dy-sports.com</t>
        </is>
      </c>
      <c r="I85" s="5" t="inlineStr"/>
      <c r="J85" s="5" t="inlineStr">
        <is>
          <t>스포츠용품 B2B 도매 (온라인 셀러 대상)</t>
        </is>
      </c>
      <c r="K85" s="5" t="inlineStr">
        <is>
          <t>불명(B2B 도매몰, 제조 정보 미확인)</t>
        </is>
      </c>
      <c r="L85" s="5" t="inlineStr">
        <is>
          <t>온라인 셀러 대상 스포츠용품 B2B 도매몰로 보호대·헬스소도구 공급 벤더 확보 수요가 있음.</t>
        </is>
      </c>
      <c r="M85" s="7" t="inlineStr">
        <is>
          <t>https://www.dy-sports.com/</t>
        </is>
      </c>
      <c r="N85" s="8" t="inlineStr"/>
      <c r="O85" s="8" t="inlineStr"/>
      <c r="P85" s="8" t="inlineStr"/>
      <c r="Q85" s="8" t="inlineStr"/>
      <c r="R85" s="8" t="inlineStr"/>
      <c r="S85" s="8" t="inlineStr"/>
      <c r="T85" s="8" t="inlineStr"/>
    </row>
    <row r="86">
      <c r="A86" s="5" t="n">
        <v>85</v>
      </c>
      <c r="B86" s="9" t="inlineStr">
        <is>
          <t>중</t>
        </is>
      </c>
      <c r="C86" s="5" t="inlineStr">
        <is>
          <t>(주)대호스포츠</t>
        </is>
      </c>
      <c r="D86" s="5" t="inlineStr">
        <is>
          <t>스포츠·헬스·재활용품 유통사/OEM브랜드</t>
        </is>
      </c>
      <c r="E86" s="7" t="inlineStr">
        <is>
          <t>https://daehosports.com</t>
        </is>
      </c>
      <c r="F86" s="5" t="inlineStr">
        <is>
          <t>042-525-6939</t>
        </is>
      </c>
      <c r="G86" s="5" t="inlineStr">
        <is>
          <t>daehosports@naver.com</t>
        </is>
      </c>
      <c r="H86" s="5" t="inlineStr">
        <is>
          <t>https://daehosports.com</t>
        </is>
      </c>
      <c r="I86" s="5" t="inlineStr">
        <is>
          <t>대전광역시</t>
        </is>
      </c>
      <c r="J86" s="5" t="inlineStr">
        <is>
          <t>헬스기구·케틀벨·헬스 소도구, 헬스장 납품 전문</t>
        </is>
      </c>
      <c r="K86" s="5" t="inlineStr">
        <is>
          <t>불명(헬스기구 납품 전문사, 제조 정보 미확인)</t>
        </is>
      </c>
      <c r="L86" s="5" t="inlineStr">
        <is>
          <t>대전 기반 헬스장 납품 전문사로 헬스장 부자재(보호대·밴드·매트) 소싱 파트너가 필요할 수 있음.</t>
        </is>
      </c>
      <c r="M86" s="7" t="inlineStr">
        <is>
          <t>https://daehosports.com/</t>
        </is>
      </c>
      <c r="N86" s="8" t="inlineStr"/>
      <c r="O86" s="8" t="inlineStr"/>
      <c r="P86" s="8" t="inlineStr"/>
      <c r="Q86" s="8" t="inlineStr"/>
      <c r="R86" s="8" t="inlineStr"/>
      <c r="S86" s="8" t="inlineStr"/>
      <c r="T86" s="8" t="inlineStr"/>
    </row>
    <row r="87">
      <c r="A87" s="5" t="n">
        <v>86</v>
      </c>
      <c r="B87" s="9" t="inlineStr">
        <is>
          <t>중</t>
        </is>
      </c>
      <c r="C87" s="5" t="inlineStr">
        <is>
          <t>(주)스포틀러 (SPORTLER)</t>
        </is>
      </c>
      <c r="D87" s="5" t="inlineStr">
        <is>
          <t>스포츠·헬스·재활용품 유통사/OEM브랜드</t>
        </is>
      </c>
      <c r="E87" s="7" t="inlineStr">
        <is>
          <t>https://sportler.co.kr</t>
        </is>
      </c>
      <c r="F87" s="5" t="inlineStr">
        <is>
          <t>1670-7933</t>
        </is>
      </c>
      <c r="G87" s="5" t="inlineStr">
        <is>
          <t>iwhasmp@gmail.com</t>
        </is>
      </c>
      <c r="H87" s="5" t="inlineStr">
        <is>
          <t>https://www.sportler.co.kr/service/index.php</t>
        </is>
      </c>
      <c r="I87" s="5" t="inlineStr">
        <is>
          <t>서울 서초구</t>
        </is>
      </c>
      <c r="J87" s="5" t="inlineStr">
        <is>
          <t>홈트 운동기구·요가매트·헬스소도구 (자체 브랜드 직영몰, G마켓·옥션 입점)</t>
        </is>
      </c>
      <c r="K87" s="5" t="inlineStr">
        <is>
          <t>불명(온라인 직영 브랜드, 제조처 미공개)</t>
        </is>
      </c>
      <c r="L87" s="5" t="inlineStr">
        <is>
          <t>홈트 운동기구를 자체 브랜드로 온라인 유통하는 업체로 보호대·소도구 등 신규 품목 소싱 파트너로 접근 가능함.</t>
        </is>
      </c>
      <c r="M87" s="7" t="inlineStr">
        <is>
          <t>https://sportler.co.kr/member/privacy.html</t>
        </is>
      </c>
      <c r="N87" s="8" t="inlineStr"/>
      <c r="O87" s="8" t="inlineStr"/>
      <c r="P87" s="8" t="inlineStr"/>
      <c r="Q87" s="8" t="inlineStr"/>
      <c r="R87" s="8" t="inlineStr"/>
      <c r="S87" s="8" t="inlineStr"/>
      <c r="T87" s="8" t="inlineStr"/>
    </row>
    <row r="88">
      <c r="A88" s="5" t="n">
        <v>87</v>
      </c>
      <c r="B88" s="9" t="inlineStr">
        <is>
          <t>중</t>
        </is>
      </c>
      <c r="C88" s="5" t="inlineStr">
        <is>
          <t>(주)엠서클 (시셀코리아 SISSEL)</t>
        </is>
      </c>
      <c r="D88" s="5" t="inlineStr">
        <is>
          <t>스포츠·헬스·재활용품 유통사/OEM브랜드</t>
        </is>
      </c>
      <c r="E88" s="7" t="inlineStr">
        <is>
          <t>https://sisselkorea.com</t>
        </is>
      </c>
      <c r="F88" s="5" t="inlineStr">
        <is>
          <t>1899-3646</t>
        </is>
      </c>
      <c r="G88" s="5" t="inlineStr"/>
      <c r="H88" s="5" t="inlineStr">
        <is>
          <t>https://store.kakao.com/sisselkorea (카카오톡 상담)</t>
        </is>
      </c>
      <c r="I88" s="5" t="inlineStr">
        <is>
          <t>서울 강남구</t>
        </is>
      </c>
      <c r="J88" s="5" t="inlineStr">
        <is>
          <t>폼롤러·마사지볼·짐볼·운동밴드·운동방석·정형베개 (스웨덴 시셀 공식 수입, 코스트코 입점)</t>
        </is>
      </c>
      <c r="K88" s="5" t="inlineStr">
        <is>
          <t>약함(해외 브랜드 수입 총판, 자체 공장 없음)</t>
        </is>
      </c>
      <c r="L88" s="5" t="inlineStr">
        <is>
          <t>시셀 수입 총판이라 핵심 품목은 본사 공급이나 보완 품목(보호대 등) PB 개발 시 중국 OEM 파트너가 필요할 수 있음.</t>
        </is>
      </c>
      <c r="M88" s="7" t="inlineStr">
        <is>
          <t>https://sisselkorea.com/about.html</t>
        </is>
      </c>
      <c r="N88" s="8" t="inlineStr"/>
      <c r="O88" s="8" t="inlineStr"/>
      <c r="P88" s="8" t="inlineStr"/>
      <c r="Q88" s="8" t="inlineStr"/>
      <c r="R88" s="8" t="inlineStr"/>
      <c r="S88" s="8" t="inlineStr"/>
      <c r="T88" s="8" t="inlineStr"/>
    </row>
    <row r="89">
      <c r="A89" s="5" t="n">
        <v>88</v>
      </c>
      <c r="B89" s="9" t="inlineStr">
        <is>
          <t>중</t>
        </is>
      </c>
      <c r="C89" s="5" t="inlineStr">
        <is>
          <t>고핏코리아 (GOFITKOREA)</t>
        </is>
      </c>
      <c r="D89" s="5" t="inlineStr">
        <is>
          <t>스포츠·헬스·재활용품 유통사/OEM브랜드</t>
        </is>
      </c>
      <c r="E89" s="7" t="inlineStr">
        <is>
          <t>https://gofitkorea.com</t>
        </is>
      </c>
      <c r="F89" s="5" t="inlineStr">
        <is>
          <t>1833-3745</t>
        </is>
      </c>
      <c r="G89" s="5" t="inlineStr"/>
      <c r="H89" s="5" t="inlineStr">
        <is>
          <t>https://gofitkorea.com</t>
        </is>
      </c>
      <c r="I89" s="5" t="inlineStr"/>
      <c r="J89" s="5" t="inlineStr">
        <is>
          <t>헬스기구·덤벨·헬스소도구, 헬스장 창업·기업·관공서·아파트 납품 및 피트니스 인테리어</t>
        </is>
      </c>
      <c r="K89" s="5" t="inlineStr">
        <is>
          <t>불명(헬스기구 유통·납품 전문, 제조 정보 미확인)</t>
        </is>
      </c>
      <c r="L89" s="5" t="inlineStr">
        <is>
          <t>헬스장 창업·관공서 납품 전문 유통사로 소도구·보호대 등 부자재 일괄 소싱 파트너가 필요할 수 있음.</t>
        </is>
      </c>
      <c r="M89" s="7" t="inlineStr">
        <is>
          <t>https://gofitkorea.com/</t>
        </is>
      </c>
      <c r="N89" s="8" t="inlineStr"/>
      <c r="O89" s="8" t="inlineStr"/>
      <c r="P89" s="8" t="inlineStr"/>
      <c r="Q89" s="8" t="inlineStr"/>
      <c r="R89" s="8" t="inlineStr"/>
      <c r="S89" s="8" t="inlineStr"/>
      <c r="T89" s="8" t="inlineStr"/>
    </row>
    <row r="90">
      <c r="A90" s="5" t="n">
        <v>89</v>
      </c>
      <c r="B90" s="9" t="inlineStr">
        <is>
          <t>중</t>
        </is>
      </c>
      <c r="C90" s="5" t="inlineStr">
        <is>
          <t>다산메디칼 (닥터엠알오)</t>
        </is>
      </c>
      <c r="D90" s="5" t="inlineStr">
        <is>
          <t>스포츠·헬스·재활용품 유통사/OEM브랜드</t>
        </is>
      </c>
      <c r="E90" s="7" t="inlineStr">
        <is>
          <t>https://drmro.com</t>
        </is>
      </c>
      <c r="F90" s="5" t="inlineStr">
        <is>
          <t>070-7095-9512</t>
        </is>
      </c>
      <c r="G90" s="5" t="inlineStr">
        <is>
          <t>dasanmd@hanmail.net</t>
        </is>
      </c>
      <c r="H90" s="5" t="inlineStr">
        <is>
          <t>https://drmro.com</t>
        </is>
      </c>
      <c r="I90" s="5" t="inlineStr">
        <is>
          <t>경기도 용인시 기흥구</t>
        </is>
      </c>
      <c r="J90" s="5" t="inlineStr">
        <is>
          <t>병의원용 의료소모품·진료재료·장비 5천여 종 도소매 유통</t>
        </is>
      </c>
      <c r="K90" s="5" t="inlineStr">
        <is>
          <t>약함(의료소모품 유통 전문, 자체 공장 없음)</t>
        </is>
      </c>
      <c r="L90" s="5" t="inlineStr">
        <is>
          <t>병의원 대상 의료소모품 종합 유통사로 보호대·재활 소모품 PB 소싱 시 중국 OEM 파트너가 필요함.</t>
        </is>
      </c>
      <c r="M90" s="7" t="inlineStr">
        <is>
          <t>https://drmro.com/</t>
        </is>
      </c>
      <c r="N90" s="8" t="inlineStr"/>
      <c r="O90" s="8" t="inlineStr"/>
      <c r="P90" s="8" t="inlineStr"/>
      <c r="Q90" s="8" t="inlineStr"/>
      <c r="R90" s="8" t="inlineStr"/>
      <c r="S90" s="8" t="inlineStr"/>
      <c r="T90" s="8" t="inlineStr"/>
    </row>
    <row r="91">
      <c r="A91" s="5" t="n">
        <v>90</v>
      </c>
      <c r="B91" s="9" t="inlineStr">
        <is>
          <t>중</t>
        </is>
      </c>
      <c r="C91" s="5" t="inlineStr">
        <is>
          <t>더미통상 (서울종로의료기)</t>
        </is>
      </c>
      <c r="D91" s="5" t="inlineStr">
        <is>
          <t>스포츠·헬스·재활용품 유통사/OEM브랜드</t>
        </is>
      </c>
      <c r="E91" s="7" t="inlineStr">
        <is>
          <t>https://jongromedi.com</t>
        </is>
      </c>
      <c r="F91" s="5" t="inlineStr">
        <is>
          <t>02-2275-1478</t>
        </is>
      </c>
      <c r="G91" s="5" t="inlineStr">
        <is>
          <t>habin0929@naver.com</t>
        </is>
      </c>
      <c r="H91" s="5" t="inlineStr">
        <is>
          <t>https://jongromedi.com</t>
        </is>
      </c>
      <c r="I91" s="5" t="inlineStr">
        <is>
          <t>서울 중구</t>
        </is>
      </c>
      <c r="J91" s="5" t="inlineStr">
        <is>
          <t>무릎·손목·허리 보호대, 병원용품, 재활운동 용품, 의료용 산소, 안마기 (관공서·병원 납품 실적)</t>
        </is>
      </c>
      <c r="K91" s="5" t="inlineStr">
        <is>
          <t>약함(의료기기 유통 전문, 자체 공장 없음)</t>
        </is>
      </c>
      <c r="L91" s="5" t="inlineStr">
        <is>
          <t>종로 40년 의료기 유통사로 보호대 카테고리를 다수 취급해 가격 경쟁력 있는 OEM 보호대 공급처를 필요로 할 가능성이 있음.</t>
        </is>
      </c>
      <c r="M91" s="7" t="inlineStr">
        <is>
          <t>https://jongromedi.com</t>
        </is>
      </c>
      <c r="N91" s="8" t="inlineStr"/>
      <c r="O91" s="8" t="inlineStr"/>
      <c r="P91" s="8" t="inlineStr"/>
      <c r="Q91" s="8" t="inlineStr"/>
      <c r="R91" s="8" t="inlineStr"/>
      <c r="S91" s="8" t="inlineStr"/>
      <c r="T91" s="8" t="inlineStr"/>
    </row>
    <row r="92">
      <c r="A92" s="5" t="n">
        <v>91</v>
      </c>
      <c r="B92" s="9" t="inlineStr">
        <is>
          <t>중</t>
        </is>
      </c>
      <c r="C92" s="5" t="inlineStr">
        <is>
          <t>동화스포츠</t>
        </is>
      </c>
      <c r="D92" s="5" t="inlineStr">
        <is>
          <t>스포츠·헬스·재활용품 유통사/OEM브랜드</t>
        </is>
      </c>
      <c r="E92" s="7" t="inlineStr">
        <is>
          <t>https://www.donghwasports.net</t>
        </is>
      </c>
      <c r="F92" s="5" t="inlineStr"/>
      <c r="G92" s="5" t="inlineStr"/>
      <c r="H92" s="5" t="inlineStr">
        <is>
          <t>https://www.donghwasports.net / 010 번호만 공개</t>
        </is>
      </c>
      <c r="I92" s="5" t="inlineStr">
        <is>
          <t>부산광역시 강서구</t>
        </is>
      </c>
      <c r="J92" s="5" t="inlineStr">
        <is>
          <t>라텍스밴드·운동밴드·요가매트·짐볼·폼롤러 등 헬스기구·운동용품</t>
        </is>
      </c>
      <c r="K92" s="5" t="inlineStr">
        <is>
          <t>불명(헬스용품 유통사, 제조 정보 미확인)</t>
        </is>
      </c>
      <c r="L92" s="5" t="inlineStr">
        <is>
          <t>밴드·매트·짐볼·폼롤러 등 중국 OEM 의존도가 높은 헬스 소도구를 폭넓게 취급하는 유통사임.</t>
        </is>
      </c>
      <c r="M92" s="7" t="inlineStr">
        <is>
          <t>https://www.donghwasports.net/</t>
        </is>
      </c>
      <c r="N92" s="8" t="inlineStr"/>
      <c r="O92" s="8" t="inlineStr"/>
      <c r="P92" s="8" t="inlineStr"/>
      <c r="Q92" s="8" t="inlineStr"/>
      <c r="R92" s="8" t="inlineStr"/>
      <c r="S92" s="8" t="inlineStr"/>
      <c r="T92" s="8" t="inlineStr"/>
    </row>
    <row r="93">
      <c r="A93" s="5" t="n">
        <v>92</v>
      </c>
      <c r="B93" s="9" t="inlineStr">
        <is>
          <t>중</t>
        </is>
      </c>
      <c r="C93" s="5" t="inlineStr">
        <is>
          <t>메디세일 (MEDISALE)</t>
        </is>
      </c>
      <c r="D93" s="5" t="inlineStr">
        <is>
          <t>스포츠·헬스·재활용품 유통사/OEM브랜드</t>
        </is>
      </c>
      <c r="E93" s="7" t="inlineStr">
        <is>
          <t>https://medisale.co.kr</t>
        </is>
      </c>
      <c r="F93" s="5" t="inlineStr"/>
      <c r="G93" s="5" t="inlineStr">
        <is>
          <t>medisale@inot-meditech.com</t>
        </is>
      </c>
      <c r="H93" s="5" t="inlineStr">
        <is>
          <t>https://medisale.co.kr</t>
        </is>
      </c>
      <c r="I93" s="5" t="inlineStr"/>
      <c r="J93" s="5" t="inlineStr">
        <is>
          <t>의료기기·의료소모품 기업 전용 B2B 도매몰</t>
        </is>
      </c>
      <c r="K93" s="5" t="inlineStr">
        <is>
          <t>약함(B2B 의료소모품 도매, 자체 공장 없음)</t>
        </is>
      </c>
      <c r="L93" s="5" t="inlineStr">
        <is>
          <t>병원·약국 대상 의료소모품 B2B 도매몰로 보호대 등 소모품 라인업 확충 시 OEM 공급처가 필요함.</t>
        </is>
      </c>
      <c r="M93" s="7" t="inlineStr">
        <is>
          <t>https://medisale.co.kr/</t>
        </is>
      </c>
      <c r="N93" s="8" t="inlineStr"/>
      <c r="O93" s="8" t="inlineStr"/>
      <c r="P93" s="8" t="inlineStr"/>
      <c r="Q93" s="8" t="inlineStr"/>
      <c r="R93" s="8" t="inlineStr"/>
      <c r="S93" s="8" t="inlineStr"/>
      <c r="T93" s="8" t="inlineStr"/>
    </row>
    <row r="94">
      <c r="A94" s="5" t="n">
        <v>93</v>
      </c>
      <c r="B94" s="9" t="inlineStr">
        <is>
          <t>중</t>
        </is>
      </c>
      <c r="C94" s="5" t="inlineStr">
        <is>
          <t>빅사이트 (필라모아 PILAMOA)</t>
        </is>
      </c>
      <c r="D94" s="5" t="inlineStr">
        <is>
          <t>스포츠·헬스·재활용품 유통사/OEM브랜드</t>
        </is>
      </c>
      <c r="E94" s="7" t="inlineStr">
        <is>
          <t>https://pilamoa.com</t>
        </is>
      </c>
      <c r="F94" s="5" t="inlineStr"/>
      <c r="G94" s="5" t="inlineStr">
        <is>
          <t>jaseatoz@naver.com</t>
        </is>
      </c>
      <c r="H94" s="5" t="inlineStr">
        <is>
          <t>https://pilamoa.com</t>
        </is>
      </c>
      <c r="I94" s="5" t="inlineStr">
        <is>
          <t>서울 강남구</t>
        </is>
      </c>
      <c r="J94" s="5" t="inlineStr">
        <is>
          <t>필라테스 기구(리포머·캐포머)·소도구·미니폼롤러·센터운영 용품 (필라테스 센터 납품 전문몰)</t>
        </is>
      </c>
      <c r="K94" s="5" t="inlineStr">
        <is>
          <t>약함(필라테스 전문 유통몰, 자체 공장 없음)</t>
        </is>
      </c>
      <c r="L94" s="5" t="inlineStr">
        <is>
          <t>필라테스 센터 대상 토탈 납품몰로 소도구·보호대 PB 확장 시 중국 OEM 소싱 파트너가 필요함 (사이트 게시 연락처가 휴대전화라 대표전화는 미기재).</t>
        </is>
      </c>
      <c r="M94" s="7" t="inlineStr">
        <is>
          <t>https://pilamoa.com</t>
        </is>
      </c>
      <c r="N94" s="8" t="inlineStr"/>
      <c r="O94" s="8" t="inlineStr"/>
      <c r="P94" s="8" t="inlineStr"/>
      <c r="Q94" s="8" t="inlineStr"/>
      <c r="R94" s="8" t="inlineStr"/>
      <c r="S94" s="8" t="inlineStr"/>
      <c r="T94" s="8" t="inlineStr"/>
    </row>
    <row r="95">
      <c r="A95" s="5" t="n">
        <v>94</v>
      </c>
      <c r="B95" s="9" t="inlineStr">
        <is>
          <t>중</t>
        </is>
      </c>
      <c r="C95" s="5" t="inlineStr">
        <is>
          <t>스포플 (SPOFL)</t>
        </is>
      </c>
      <c r="D95" s="5" t="inlineStr">
        <is>
          <t>스포츠·헬스·재활용품 유통사/OEM브랜드</t>
        </is>
      </c>
      <c r="E95" s="7" t="inlineStr">
        <is>
          <t>https://spofl.co.kr</t>
        </is>
      </c>
      <c r="F95" s="5" t="inlineStr"/>
      <c r="G95" s="5" t="inlineStr"/>
      <c r="H95" s="5" t="inlineStr">
        <is>
          <t>https://pf.kakao.com/_GVrxlK (카카오톡 채널)</t>
        </is>
      </c>
      <c r="I95" s="5" t="inlineStr"/>
      <c r="J95" s="5" t="inlineStr">
        <is>
          <t>폼롤러·마사지기·운동밴드·헬스케어 및 스포츠 브랜드 편집 플랫폼</t>
        </is>
      </c>
      <c r="K95" s="5" t="inlineStr">
        <is>
          <t>불명(브랜드 유통 플랫폼, 제조 정보 미확인)</t>
        </is>
      </c>
      <c r="L95" s="5" t="inlineStr">
        <is>
          <t>다수 스포츠·헬스케어 브랜드를 유통하는 온라인 플랫폼으로 PB 소도구·보호대 개발 시 외부 OEM 파트너 수요 가능성이 있음.</t>
        </is>
      </c>
      <c r="M95" s="7" t="inlineStr">
        <is>
          <t>https://spofl.co.kr/board/faq/3/</t>
        </is>
      </c>
      <c r="N95" s="8" t="inlineStr"/>
      <c r="O95" s="8" t="inlineStr"/>
      <c r="P95" s="8" t="inlineStr"/>
      <c r="Q95" s="8" t="inlineStr"/>
      <c r="R95" s="8" t="inlineStr"/>
      <c r="S95" s="8" t="inlineStr"/>
      <c r="T95" s="8" t="inlineStr"/>
    </row>
    <row r="96">
      <c r="A96" s="5" t="n">
        <v>95</v>
      </c>
      <c r="B96" s="9" t="inlineStr">
        <is>
          <t>중</t>
        </is>
      </c>
      <c r="C96" s="5" t="inlineStr">
        <is>
          <t>에스앤에스 (파워플러스몰)</t>
        </is>
      </c>
      <c r="D96" s="5" t="inlineStr">
        <is>
          <t>스포츠·헬스·재활용품 유통사/OEM브랜드</t>
        </is>
      </c>
      <c r="E96" s="7" t="inlineStr">
        <is>
          <t>http://sns3524.godomall.com</t>
        </is>
      </c>
      <c r="F96" s="5" t="inlineStr"/>
      <c r="G96" s="5" t="inlineStr"/>
      <c r="H96" s="5" t="inlineStr">
        <is>
          <t>http://sns3524.godomall.com/main/index.php?pcView=y</t>
        </is>
      </c>
      <c r="I96" s="5" t="inlineStr"/>
      <c r="J96" s="5" t="inlineStr">
        <is>
          <t>의료용 관절보호대 제조·유통 (자체 브랜드 파워플러스·스포라이트·웰팜스)</t>
        </is>
      </c>
      <c r="K96" s="5" t="inlineStr">
        <is>
          <t>불명(제조·유통 전문사로 소개되나 공장 소재지 미확인)</t>
        </is>
      </c>
      <c r="L96" s="5" t="inlineStr">
        <is>
          <t>복수의 보호대 브랜드를 운영하는 관절보호대 전문 제조·유통사로 품목 보완용 중국 OEM 협업 여지가 있으나 자체 제조 가능성이 있어 경쟁 관계일 수 있음.</t>
        </is>
      </c>
      <c r="M96" s="7" t="inlineStr">
        <is>
          <t>http://sns3524.godomall.com/main/index.php?pcView=y</t>
        </is>
      </c>
      <c r="N96" s="8" t="inlineStr"/>
      <c r="O96" s="8" t="inlineStr"/>
      <c r="P96" s="8" t="inlineStr"/>
      <c r="Q96" s="8" t="inlineStr"/>
      <c r="R96" s="8" t="inlineStr"/>
      <c r="S96" s="8" t="inlineStr"/>
      <c r="T96" s="8" t="inlineStr"/>
    </row>
    <row r="97">
      <c r="A97" s="5" t="n">
        <v>96</v>
      </c>
      <c r="B97" s="9" t="inlineStr">
        <is>
          <t>중</t>
        </is>
      </c>
      <c r="C97" s="5" t="inlineStr">
        <is>
          <t>트라택 (TRATAC)</t>
        </is>
      </c>
      <c r="D97" s="5" t="inlineStr">
        <is>
          <t>스포츠·헬스·재활용품 유통사/OEM브랜드</t>
        </is>
      </c>
      <c r="E97" s="7" t="inlineStr">
        <is>
          <t>https://tratac.co.kr</t>
        </is>
      </c>
      <c r="F97" s="5" t="inlineStr"/>
      <c r="G97" s="5" t="inlineStr"/>
      <c r="H97" s="5" t="inlineStr">
        <is>
          <t>https://tratac.co.kr</t>
        </is>
      </c>
      <c r="I97" s="5" t="inlineStr"/>
      <c r="J97" s="5" t="inlineStr">
        <is>
          <t>세라밴드 등 재활·헬스케어 운동용품 (헬스케어 플랫폼)</t>
        </is>
      </c>
      <c r="K97" s="5" t="inlineStr">
        <is>
          <t>불명(헬스케어 유통 플랫폼, 제조 정보 미확인)</t>
        </is>
      </c>
      <c r="L97" s="5" t="inlineStr">
        <is>
          <t>재활·헬스케어 용품 플랫폼으로 물리치료실·재활센터 납품용 보호대·밴드 OEM 공급처가 필요할 수 있음.</t>
        </is>
      </c>
      <c r="M97" s="7" t="inlineStr">
        <is>
          <t>https://tratac.co.kr/shop/prd_list.php?catcode=161100</t>
        </is>
      </c>
      <c r="N97" s="8" t="inlineStr"/>
      <c r="O97" s="8" t="inlineStr"/>
      <c r="P97" s="8" t="inlineStr"/>
      <c r="Q97" s="8" t="inlineStr"/>
      <c r="R97" s="8" t="inlineStr"/>
      <c r="S97" s="8" t="inlineStr"/>
      <c r="T97" s="8" t="inlineStr"/>
    </row>
    <row r="98">
      <c r="A98" s="5" t="n">
        <v>97</v>
      </c>
      <c r="B98" s="9" t="inlineStr">
        <is>
          <t>중</t>
        </is>
      </c>
      <c r="C98" s="5" t="inlineStr">
        <is>
          <t>하라스포츠</t>
        </is>
      </c>
      <c r="D98" s="5" t="inlineStr">
        <is>
          <t>스포츠·헬스·재활용품 유통사/OEM브랜드</t>
        </is>
      </c>
      <c r="E98" s="7" t="inlineStr">
        <is>
          <t>https://harasports.net</t>
        </is>
      </c>
      <c r="F98" s="5" t="inlineStr">
        <is>
          <t>063-462-6300</t>
        </is>
      </c>
      <c r="G98" s="5" t="inlineStr">
        <is>
          <t>hhhh4076@naver.com</t>
        </is>
      </c>
      <c r="H98" s="5" t="inlineStr">
        <is>
          <t>https://harasports.net</t>
        </is>
      </c>
      <c r="I98" s="5" t="inlineStr">
        <is>
          <t>전북특별자치도 군산시</t>
        </is>
      </c>
      <c r="J98" s="5" t="inlineStr">
        <is>
          <t>원판·아령·바벨봉·케틀벨·메디슨볼·폼롤러·요가매트 등 헬스 소도구 85종</t>
        </is>
      </c>
      <c r="K98" s="5" t="inlineStr">
        <is>
          <t>불명(헬스 소도구 유통, 제조 정보 미확인)</t>
        </is>
      </c>
      <c r="L98" s="5" t="inlineStr">
        <is>
          <t>헬스 소도구 전 품목을 취급하는 유통사로 보호대·소도구 신규 소싱 파트너로 접근 가능함.</t>
        </is>
      </c>
      <c r="M98" s="7" t="inlineStr">
        <is>
          <t>https://harasports.net/</t>
        </is>
      </c>
      <c r="N98" s="8" t="inlineStr"/>
      <c r="O98" s="8" t="inlineStr"/>
      <c r="P98" s="8" t="inlineStr"/>
      <c r="Q98" s="8" t="inlineStr"/>
      <c r="R98" s="8" t="inlineStr"/>
      <c r="S98" s="8" t="inlineStr"/>
      <c r="T98" s="8" t="inlineStr"/>
    </row>
    <row r="99">
      <c r="A99" s="5" t="n">
        <v>98</v>
      </c>
      <c r="B99" s="9" t="inlineStr">
        <is>
          <t>중</t>
        </is>
      </c>
      <c r="C99" s="5" t="inlineStr">
        <is>
          <t>(주)비즈마켓</t>
        </is>
      </c>
      <c r="D99" s="5" t="inlineStr">
        <is>
          <t>제약·의료·치과 판촉물 벤더</t>
        </is>
      </c>
      <c r="E99" s="7" t="inlineStr">
        <is>
          <t>https://www.bizmarket.com/</t>
        </is>
      </c>
      <c r="F99" s="5" t="inlineStr">
        <is>
          <t>1670-1628</t>
        </is>
      </c>
      <c r="G99" s="5" t="inlineStr"/>
      <c r="H99" s="5" t="inlineStr">
        <is>
          <t>https://www.bizmarket.com/promotion</t>
        </is>
      </c>
      <c r="I99" s="5" t="inlineStr">
        <is>
          <t>서울 용산구</t>
        </is>
      </c>
      <c r="J99" s="5" t="inlineStr">
        <is>
          <t>제약·전자·금융사 사은품·판촉물 제작, 제약사 전용(PL/PB) 상품 개발, 캐릭터·로고 활용 굿즈, 기업 판촉몰 구축</t>
        </is>
      </c>
      <c r="K99" s="5" t="inlineStr">
        <is>
          <t>불명 (글로벌 B2B 서비스 언급은 있으나 자체 중국공장·지사 명시 없음)</t>
        </is>
      </c>
      <c r="L99" s="5" t="inlineStr">
        <is>
          <t>제약사 대상 전용 판촉물·PL/PB 굿즈 개발을 사업영역으로 명시한 업체로, 규모는 크지만 제약 판촉 물량이 안정적임.</t>
        </is>
      </c>
      <c r="M99" s="7" t="inlineStr">
        <is>
          <t>https://www.bizmarket.com/promotion</t>
        </is>
      </c>
      <c r="N99" s="8" t="inlineStr"/>
      <c r="O99" s="8" t="inlineStr"/>
      <c r="P99" s="8" t="inlineStr"/>
      <c r="Q99" s="8" t="inlineStr"/>
      <c r="R99" s="8" t="inlineStr"/>
      <c r="S99" s="8" t="inlineStr"/>
      <c r="T99" s="8" t="inlineStr"/>
    </row>
    <row r="100">
      <c r="A100" s="5" t="n">
        <v>99</v>
      </c>
      <c r="B100" s="9" t="inlineStr">
        <is>
          <t>중</t>
        </is>
      </c>
      <c r="C100" s="5" t="inlineStr">
        <is>
          <t>가로기프트</t>
        </is>
      </c>
      <c r="D100" s="5" t="inlineStr">
        <is>
          <t>제약·의료·치과 판촉물 벤더</t>
        </is>
      </c>
      <c r="E100" s="7" t="inlineStr">
        <is>
          <t>https://garogift.com/</t>
        </is>
      </c>
      <c r="F100" s="5" t="inlineStr"/>
      <c r="G100" s="5" t="inlineStr"/>
      <c r="H100" s="5" t="inlineStr">
        <is>
          <t>https://garogift.com/</t>
        </is>
      </c>
      <c r="I100" s="5" t="inlineStr"/>
      <c r="J100" s="5" t="inlineStr">
        <is>
          <t>병원 판촉물, 약국 판촉물, 텀블러, 기념품, 업종별(보험·학교·학원·교회) 판촉물</t>
        </is>
      </c>
      <c r="K100" s="5" t="inlineStr">
        <is>
          <t>불명 (자체 공장·중국지사 언급 없음)</t>
        </is>
      </c>
      <c r="L100" s="5" t="inlineStr">
        <is>
          <t>병원·약국 판촉물 전용 페이지를 운영하는 소규모 판촉물 중개 벤더로 의료 고객 대상 굿즈 소싱 파트너 수요가 예상됨.</t>
        </is>
      </c>
      <c r="M100" s="7" t="inlineStr">
        <is>
          <t>https://garogift.com/%EB%B3%91%EC%9B%90-%ED%8C%90%EC%B4%89%EB%AC%BC/</t>
        </is>
      </c>
      <c r="N100" s="8" t="inlineStr"/>
      <c r="O100" s="8" t="inlineStr"/>
      <c r="P100" s="8" t="inlineStr"/>
      <c r="Q100" s="8" t="inlineStr"/>
      <c r="R100" s="8" t="inlineStr"/>
      <c r="S100" s="8" t="inlineStr"/>
      <c r="T100" s="8" t="inlineStr"/>
    </row>
    <row r="101">
      <c r="A101" s="5" t="n">
        <v>100</v>
      </c>
      <c r="B101" s="9" t="inlineStr">
        <is>
          <t>중</t>
        </is>
      </c>
      <c r="C101" s="5" t="inlineStr">
        <is>
          <t>나래기프트</t>
        </is>
      </c>
      <c r="D101" s="5" t="inlineStr">
        <is>
          <t>제약·의료·치과 판촉물 벤더</t>
        </is>
      </c>
      <c r="E101" s="7" t="inlineStr">
        <is>
          <t>https://naregift.kr/</t>
        </is>
      </c>
      <c r="F101" s="5" t="inlineStr"/>
      <c r="G101" s="5" t="inlineStr"/>
      <c r="H101" s="5" t="inlineStr">
        <is>
          <t>https://naregift.kr/</t>
        </is>
      </c>
      <c r="I101" s="5" t="inlineStr"/>
      <c r="J101" s="5" t="inlineStr">
        <is>
          <t>병원·관공서·기업·학원 홍보용품 주문제작 (텀블러, 볼펜·형광펜, 키링, 파우치, 선물세트)</t>
        </is>
      </c>
      <c r="K101" s="5" t="inlineStr">
        <is>
          <t>불명 (자체 공장·중국지사 언급 없음)</t>
        </is>
      </c>
      <c r="L101" s="5" t="inlineStr">
        <is>
          <t>병원을 주요 납품처로 명시한 소규모 판촉물 주문제작 쇼핑몰로 자체 생산시설 없이 유통 중심이라 중국 생산 파트너 제안 여지가 있음.</t>
        </is>
      </c>
      <c r="M101" s="7" t="inlineStr">
        <is>
          <t>https://naregift.kr/m/sub/prdview.php?prdcode=249476</t>
        </is>
      </c>
      <c r="N101" s="8" t="inlineStr"/>
      <c r="O101" s="8" t="inlineStr"/>
      <c r="P101" s="8" t="inlineStr"/>
      <c r="Q101" s="8" t="inlineStr"/>
      <c r="R101" s="8" t="inlineStr"/>
      <c r="S101" s="8" t="inlineStr"/>
      <c r="T101" s="8" t="inlineStr"/>
    </row>
    <row r="102">
      <c r="A102" s="5" t="n">
        <v>101</v>
      </c>
      <c r="B102" s="9" t="inlineStr">
        <is>
          <t>중</t>
        </is>
      </c>
      <c r="C102" s="5" t="inlineStr">
        <is>
          <t>라임기프트판촉물</t>
        </is>
      </c>
      <c r="D102" s="5" t="inlineStr">
        <is>
          <t>제약·의료·치과 판촉물 벤더</t>
        </is>
      </c>
      <c r="E102" s="7" t="inlineStr">
        <is>
          <t>https://limegiftmall.com/</t>
        </is>
      </c>
      <c r="F102" s="5" t="inlineStr"/>
      <c r="G102" s="5" t="inlineStr"/>
      <c r="H102" s="5" t="inlineStr">
        <is>
          <t>https://limegiftmall.com/</t>
        </is>
      </c>
      <c r="I102" s="5" t="inlineStr"/>
      <c r="J102" s="5" t="inlineStr">
        <is>
          <t>병원/약국 판촉물 카테고리, 기념품, 사은품</t>
        </is>
      </c>
      <c r="K102" s="5" t="inlineStr">
        <is>
          <t>불명 (자체 공장·중국지사 언급 없음)</t>
        </is>
      </c>
      <c r="L102" s="5" t="inlineStr">
        <is>
          <t>병원/약국 판촉물 카테고리를 별도로 운영하는 소규모 판촉물 쇼핑몰로 의료 고객향 굿즈 소싱 협업 여지가 있음.</t>
        </is>
      </c>
      <c r="M102" s="7" t="inlineStr">
        <is>
          <t>https://limegiftmall.com/list/list.html?ccode=12292</t>
        </is>
      </c>
      <c r="N102" s="8" t="inlineStr"/>
      <c r="O102" s="8" t="inlineStr"/>
      <c r="P102" s="8" t="inlineStr"/>
      <c r="Q102" s="8" t="inlineStr"/>
      <c r="R102" s="8" t="inlineStr"/>
      <c r="S102" s="8" t="inlineStr"/>
      <c r="T102" s="8" t="inlineStr"/>
    </row>
    <row r="103">
      <c r="A103" s="5" t="n">
        <v>102</v>
      </c>
      <c r="B103" s="9" t="inlineStr">
        <is>
          <t>중</t>
        </is>
      </c>
      <c r="C103" s="5" t="inlineStr">
        <is>
          <t>바나나조이</t>
        </is>
      </c>
      <c r="D103" s="5" t="inlineStr">
        <is>
          <t>제약·의료·치과 판촉물 벤더</t>
        </is>
      </c>
      <c r="E103" s="7" t="inlineStr">
        <is>
          <t>http://bananajoy.kr/</t>
        </is>
      </c>
      <c r="F103" s="5" t="inlineStr"/>
      <c r="G103" s="5" t="inlineStr"/>
      <c r="H103" s="5" t="inlineStr">
        <is>
          <t>http://bananajoy.kr/</t>
        </is>
      </c>
      <c r="I103" s="5" t="inlineStr"/>
      <c r="J103" s="5" t="inlineStr">
        <is>
          <t>병원/약국 사은품 카테고리, 주문제작 다이어리, 타올·우산세트, 기념품 도매</t>
        </is>
      </c>
      <c r="K103" s="5" t="inlineStr">
        <is>
          <t>불명 (자체 공장·중국지사 언급 없음)</t>
        </is>
      </c>
      <c r="L103" s="5" t="inlineStr">
        <is>
          <t>병원/약국 전용 사은품 카테고리를 운영하는 소규모 판촉물 도매몰로 의료 고객 납품용 굿즈 소싱 파트너 제안이 가능함.</t>
        </is>
      </c>
      <c r="M103" s="7" t="inlineStr">
        <is>
          <t>http://www.bananajoy.kr/list/list.html?ccode=12292</t>
        </is>
      </c>
      <c r="N103" s="8" t="inlineStr"/>
      <c r="O103" s="8" t="inlineStr"/>
      <c r="P103" s="8" t="inlineStr"/>
      <c r="Q103" s="8" t="inlineStr"/>
      <c r="R103" s="8" t="inlineStr"/>
      <c r="S103" s="8" t="inlineStr"/>
      <c r="T103" s="8" t="inlineStr"/>
    </row>
    <row r="104">
      <c r="A104" s="5" t="n">
        <v>103</v>
      </c>
      <c r="B104" s="9" t="inlineStr">
        <is>
          <t>중</t>
        </is>
      </c>
      <c r="C104" s="5" t="inlineStr">
        <is>
          <t>알짜기프트</t>
        </is>
      </c>
      <c r="D104" s="5" t="inlineStr">
        <is>
          <t>제약·의료·치과 판촉물 벤더</t>
        </is>
      </c>
      <c r="E104" s="7" t="inlineStr">
        <is>
          <t>http://aljjagift.com/</t>
        </is>
      </c>
      <c r="F104" s="5" t="inlineStr">
        <is>
          <t>1661-8712</t>
        </is>
      </c>
      <c r="G104" s="5" t="inlineStr"/>
      <c r="H104" s="5" t="inlineStr">
        <is>
          <t>http://aljjagift.com/</t>
        </is>
      </c>
      <c r="I104" s="5" t="inlineStr">
        <is>
          <t>서울 금천구</t>
        </is>
      </c>
      <c r="J104" s="5" t="inlineStr">
        <is>
          <t>홍보판촉물, 기념품, 답례품, 단체선물 도매</t>
        </is>
      </c>
      <c r="K104" s="5" t="inlineStr">
        <is>
          <t>약함 (조아기프트 네트워크 소속 판매점으로 자체 공장·중국지사 언급 없음)</t>
        </is>
      </c>
      <c r="L104" s="5" t="inlineStr">
        <is>
          <t>제약사 판촉물 검색에 노출되는 소규모 판촉물 도매 벤더로 자체 생산시설 없이 유통 중심이라 소싱 파트너 제안이 가능함.</t>
        </is>
      </c>
      <c r="M104" s="7" t="inlineStr">
        <is>
          <t>http://aljjagift.com/</t>
        </is>
      </c>
      <c r="N104" s="8" t="inlineStr"/>
      <c r="O104" s="8" t="inlineStr"/>
      <c r="P104" s="8" t="inlineStr"/>
      <c r="Q104" s="8" t="inlineStr"/>
      <c r="R104" s="8" t="inlineStr"/>
      <c r="S104" s="8" t="inlineStr"/>
      <c r="T104" s="8" t="inlineStr"/>
    </row>
    <row r="105">
      <c r="A105" s="5" t="n">
        <v>104</v>
      </c>
      <c r="B105" s="9" t="inlineStr">
        <is>
          <t>중</t>
        </is>
      </c>
      <c r="C105" s="5" t="inlineStr">
        <is>
          <t>조일기프트 / (주)올가코리아</t>
        </is>
      </c>
      <c r="D105" s="5" t="inlineStr">
        <is>
          <t>제약·의료·치과 판촉물 벤더</t>
        </is>
      </c>
      <c r="E105" s="7" t="inlineStr">
        <is>
          <t>https://joilgift.kr/</t>
        </is>
      </c>
      <c r="F105" s="5" t="inlineStr"/>
      <c r="G105" s="5" t="inlineStr">
        <is>
          <t>gift@olgakorea.com</t>
        </is>
      </c>
      <c r="H105" s="5" t="inlineStr">
        <is>
          <t>https://joilgift.kr/</t>
        </is>
      </c>
      <c r="I105" s="5" t="inlineStr">
        <is>
          <t>용인 기흥구</t>
        </is>
      </c>
      <c r="J105" s="5" t="inlineStr">
        <is>
          <t>온습도계, 주문제작 에코백·뱃지·북마크, 핸드타올, 생활용품 판촉물</t>
        </is>
      </c>
      <c r="K105" s="5" t="inlineStr">
        <is>
          <t>불명 (자체 공장·중국지사 언급 없음)</t>
        </is>
      </c>
      <c r="L105" s="5" t="inlineStr">
        <is>
          <t>온습도계 등 제약 판촉 단골 품목을 취급하는 소규모 판촉물 벤더로 주문제작형 굿즈 소싱 수요가 있음.</t>
        </is>
      </c>
      <c r="M105" s="7" t="inlineStr">
        <is>
          <t>https://joilgift.kr/m/sub/prdview.php?prdcode=212000</t>
        </is>
      </c>
      <c r="N105" s="8" t="inlineStr"/>
      <c r="O105" s="8" t="inlineStr"/>
      <c r="P105" s="8" t="inlineStr"/>
      <c r="Q105" s="8" t="inlineStr"/>
      <c r="R105" s="8" t="inlineStr"/>
      <c r="S105" s="8" t="inlineStr"/>
      <c r="T105" s="8" t="inlineStr"/>
    </row>
    <row r="106">
      <c r="A106" s="5" t="n">
        <v>105</v>
      </c>
      <c r="B106" s="9" t="inlineStr">
        <is>
          <t>중</t>
        </is>
      </c>
      <c r="C106" s="5" t="inlineStr">
        <is>
          <t>판촉물365 (HS/판촉물365)</t>
        </is>
      </c>
      <c r="D106" s="5" t="inlineStr">
        <is>
          <t>제약·의료·치과 판촉물 벤더</t>
        </is>
      </c>
      <c r="E106" s="7" t="inlineStr">
        <is>
          <t>https://dapaleo.com/</t>
        </is>
      </c>
      <c r="F106" s="5" t="inlineStr"/>
      <c r="G106" s="5" t="inlineStr">
        <is>
          <t>heesu18900@gmail.com</t>
        </is>
      </c>
      <c r="H106" s="5" t="inlineStr">
        <is>
          <t>https://www.dapaleo.com/new/customer/sample.htm</t>
        </is>
      </c>
      <c r="I106" s="5" t="inlineStr"/>
      <c r="J106" s="5" t="inlineStr">
        <is>
          <t>기업·병원·은행·관공서 맞춤 우산, 타올, 볼펜, 텀블러, 머그, 보조배터리, USB, 캘린더</t>
        </is>
      </c>
      <c r="K106" s="5" t="inlineStr">
        <is>
          <t>불명 (자체 공장·중국지사 언급 없음, 여성기업·창업기업 인증 소규모 업체)</t>
        </is>
      </c>
      <c r="L106" s="5" t="inlineStr">
        <is>
          <t>병원을 주요 고객군으로 명시한 여성기업 인증 소규모 판촉물 벤더로 원가 경쟁력 있는 중국 생산 파트너 수요가 예상됨.</t>
        </is>
      </c>
      <c r="M106" s="7" t="inlineStr">
        <is>
          <t>https://dapaleo.business.site/</t>
        </is>
      </c>
      <c r="N106" s="8" t="inlineStr"/>
      <c r="O106" s="8" t="inlineStr"/>
      <c r="P106" s="8" t="inlineStr"/>
      <c r="Q106" s="8" t="inlineStr"/>
      <c r="R106" s="8" t="inlineStr"/>
      <c r="S106" s="8" t="inlineStr"/>
      <c r="T106" s="8" t="inlineStr"/>
    </row>
    <row r="107">
      <c r="A107" s="5" t="n">
        <v>106</v>
      </c>
      <c r="B107" s="9" t="inlineStr">
        <is>
          <t>중</t>
        </is>
      </c>
      <c r="C107" s="5" t="inlineStr">
        <is>
          <t>판촉물파트너(인쇄기프트 스토어)</t>
        </is>
      </c>
      <c r="D107" s="5" t="inlineStr">
        <is>
          <t>제약·의료·치과 판촉물 벤더</t>
        </is>
      </c>
      <c r="E107" s="7" t="inlineStr">
        <is>
          <t>https://printgift.co.kr/</t>
        </is>
      </c>
      <c r="F107" s="5" t="inlineStr">
        <is>
          <t>070-4238-6667</t>
        </is>
      </c>
      <c r="G107" s="5" t="inlineStr"/>
      <c r="H107" s="5" t="inlineStr">
        <is>
          <t>https://printgift.co.kr/shopinfo/company.html</t>
        </is>
      </c>
      <c r="I107" s="5" t="inlineStr">
        <is>
          <t>서울 광진구</t>
        </is>
      </c>
      <c r="J107" s="5" t="inlineStr">
        <is>
          <t>판촉물·기념품·답례품 도매 인쇄 제작 (클립형 볼펜, 웹캠커버, 보조배터리 등)</t>
        </is>
      </c>
      <c r="K107" s="5" t="inlineStr">
        <is>
          <t>불명 (자체 공장·중국지사 언급 없음)</t>
        </is>
      </c>
      <c r="L107" s="5" t="inlineStr">
        <is>
          <t>약국 판촉물 검색에 노출되는 소규모 인쇄·판촉물 도매 스토어로 자체 공장 없이 인쇄 가공 중심이라 중국 소싱 협업 여지가 있음.</t>
        </is>
      </c>
      <c r="M107" s="7" t="inlineStr">
        <is>
          <t>https://printgift.co.kr/shopinfo/company.html</t>
        </is>
      </c>
      <c r="N107" s="8" t="inlineStr"/>
      <c r="O107" s="8" t="inlineStr"/>
      <c r="P107" s="8" t="inlineStr"/>
      <c r="Q107" s="8" t="inlineStr"/>
      <c r="R107" s="8" t="inlineStr"/>
      <c r="S107" s="8" t="inlineStr"/>
      <c r="T107" s="8" t="inlineStr"/>
    </row>
    <row r="108">
      <c r="A108" s="5" t="n">
        <v>107</v>
      </c>
      <c r="B108" s="9" t="inlineStr">
        <is>
          <t>중</t>
        </is>
      </c>
      <c r="C108" s="5" t="inlineStr">
        <is>
          <t>O-SEAN(런투더퓨처랩스)</t>
        </is>
      </c>
      <c r="D108" s="5" t="inlineStr">
        <is>
          <t>캐릭터·IP·팬굿즈 기획사</t>
        </is>
      </c>
      <c r="E108" s="7" t="inlineStr">
        <is>
          <t>https://o-sean.io/</t>
        </is>
      </c>
      <c r="F108" s="5" t="inlineStr"/>
      <c r="G108" s="5" t="inlineStr"/>
      <c r="H108" s="5" t="inlineStr">
        <is>
          <t>https://o-sean.io/ (견적 문의·1:1 상담 폼)</t>
        </is>
      </c>
      <c r="I108" s="5" t="inlineStr"/>
      <c r="J108" s="5" t="inlineStr">
        <is>
          <t>게임·엔터 IP 피규어 키링, 아크릴 키링·뱃지, 에코백·파우치, 텀블러, 문구, 디지털 굿즈(MOQ 50~100개)</t>
        </is>
      </c>
      <c r="K108" s="5" t="inlineStr">
        <is>
          <t>약함(자체 생산 라인 보유 표기, 중국 거점 언급 없음)</t>
        </is>
      </c>
      <c r="L108" s="5" t="inlineStr">
        <is>
          <t>게임·엔터 IP용 피규어 키링을 MOQ 100개·4주로 제작하는 스타트업으로 소량 다품종 생산을 위한 중국 소싱 파트너가 보완적으로 필요할 수 있다.</t>
        </is>
      </c>
      <c r="M108" s="7" t="inlineStr">
        <is>
          <t>https://o-sean.io/about ; https://o-sean.io/category/item/LS-023</t>
        </is>
      </c>
      <c r="N108" s="8" t="inlineStr"/>
      <c r="O108" s="8" t="inlineStr"/>
      <c r="P108" s="8" t="inlineStr"/>
      <c r="Q108" s="8" t="inlineStr"/>
      <c r="R108" s="8" t="inlineStr"/>
      <c r="S108" s="8" t="inlineStr"/>
      <c r="T108" s="8" t="inlineStr"/>
    </row>
    <row r="109">
      <c r="A109" s="5" t="n">
        <v>108</v>
      </c>
      <c r="B109" s="9" t="inlineStr">
        <is>
          <t>중</t>
        </is>
      </c>
      <c r="C109" s="5" t="inlineStr">
        <is>
          <t>굿즈나라(헤세드하우스)</t>
        </is>
      </c>
      <c r="D109" s="5" t="inlineStr">
        <is>
          <t>캐릭터·IP·팬굿즈 기획사</t>
        </is>
      </c>
      <c r="E109" s="7" t="inlineStr">
        <is>
          <t>https://goodsnara.com/</t>
        </is>
      </c>
      <c r="F109" s="5" t="inlineStr">
        <is>
          <t>031-994-7740</t>
        </is>
      </c>
      <c r="G109" s="5" t="inlineStr">
        <is>
          <t>hesedhouse2@naver.com</t>
        </is>
      </c>
      <c r="H109" s="5" t="inlineStr">
        <is>
          <t>https://goodsnara.com/form (굿즈 디자인 폼), 카카오톡 채널(24시간 문의)</t>
        </is>
      </c>
      <c r="I109" s="5" t="inlineStr">
        <is>
          <t>경기 고양시 일산서구</t>
        </is>
      </c>
      <c r="J109" s="5" t="inlineStr">
        <is>
          <t>KPOP 아이돌 팬굿즈(슬로건, 이미지피켓, 반사 포토슬로건), 캔텀블러, 보조배터리, 기념품</t>
        </is>
      </c>
      <c r="K109" s="5" t="inlineStr">
        <is>
          <t>불명(홈페이지에 생산 거점·중국 공장 언급 없음)</t>
        </is>
      </c>
      <c r="L109" s="5" t="inlineStr">
        <is>
          <t>아이돌 팬덤 대상 응원 굿즈·잡화를 기획 제작하는 소규모 업체로 텀블러·배터리 등 공산품은 외부 소싱이 필요해 중국 파트너 수요가 있을 수 있다.</t>
        </is>
      </c>
      <c r="M109" s="7" t="inlineStr">
        <is>
          <t>https://goodsnara.com/ ; https://goodsnara.com/form</t>
        </is>
      </c>
      <c r="N109" s="8" t="inlineStr"/>
      <c r="O109" s="8" t="inlineStr"/>
      <c r="P109" s="8" t="inlineStr"/>
      <c r="Q109" s="8" t="inlineStr"/>
      <c r="R109" s="8" t="inlineStr"/>
      <c r="S109" s="8" t="inlineStr"/>
      <c r="T109" s="8" t="inlineStr"/>
    </row>
    <row r="110">
      <c r="A110" s="5" t="n">
        <v>109</v>
      </c>
      <c r="B110" s="9" t="inlineStr">
        <is>
          <t>중</t>
        </is>
      </c>
      <c r="C110" s="5" t="inlineStr">
        <is>
          <t>스마일웍스</t>
        </is>
      </c>
      <c r="D110" s="5" t="inlineStr">
        <is>
          <t>캐릭터·IP·팬굿즈 기획사</t>
        </is>
      </c>
      <c r="E110" s="7" t="inlineStr">
        <is>
          <t>http://www.smileworks.co.kr/</t>
        </is>
      </c>
      <c r="F110" s="5" t="inlineStr">
        <is>
          <t>02-2675-8755</t>
        </is>
      </c>
      <c r="G110" s="5" t="inlineStr">
        <is>
          <t>moon@smileworks.co.kr</t>
        </is>
      </c>
      <c r="H110" s="5" t="inlineStr">
        <is>
          <t>http://www.smileworks.co.kr/default/online/sub1.php (온라인 문의)</t>
        </is>
      </c>
      <c r="I110" s="5" t="inlineStr">
        <is>
          <t>서울 영등포구</t>
        </is>
      </c>
      <c r="J110" s="5" t="inlineStr">
        <is>
          <t>봉제인형, 사출 피규어, 웹소설·연예인·캐릭터 굿즈, 스트레스볼 등 기타 굿즈</t>
        </is>
      </c>
      <c r="K110" s="5" t="inlineStr">
        <is>
          <t>불명(국내·국외 패턴 개발실 운영 표기, 해외 거점 국가·공장 미공개)</t>
        </is>
      </c>
      <c r="L110" s="5" t="inlineStr">
        <is>
          <t>봉제인형에서 사출 피규어·잡화까지 품목이 넓어 자체 개발실 외 양산 공장 다변화 시 중국 소싱 파트너가 도움이 될 수 있다.</t>
        </is>
      </c>
      <c r="M110" s="7" t="inlineStr">
        <is>
          <t>http://www.smileworks.co.kr/default/work/sub1.php ; http://www.smileworks.co.kr/default/work/sub2.php</t>
        </is>
      </c>
      <c r="N110" s="8" t="inlineStr"/>
      <c r="O110" s="8" t="inlineStr"/>
      <c r="P110" s="8" t="inlineStr"/>
      <c r="Q110" s="8" t="inlineStr"/>
      <c r="R110" s="8" t="inlineStr"/>
      <c r="S110" s="8" t="inlineStr"/>
      <c r="T110" s="8" t="inlineStr"/>
    </row>
    <row r="111">
      <c r="A111" s="5" t="n">
        <v>110</v>
      </c>
      <c r="B111" s="9" t="inlineStr">
        <is>
          <t>중</t>
        </is>
      </c>
      <c r="C111" s="5" t="inlineStr">
        <is>
          <t>시나브로(토이웍스 인형사업부)</t>
        </is>
      </c>
      <c r="D111" s="5" t="inlineStr">
        <is>
          <t>캐릭터·IP·팬굿즈 기획사</t>
        </is>
      </c>
      <c r="E111" s="7" t="inlineStr">
        <is>
          <t>https://www.toyworks.kr/</t>
        </is>
      </c>
      <c r="F111" s="5" t="inlineStr">
        <is>
          <t>032-554-9954</t>
        </is>
      </c>
      <c r="G111" s="5" t="inlineStr">
        <is>
          <t>toyworks@daum.net</t>
        </is>
      </c>
      <c r="H111" s="5" t="inlineStr">
        <is>
          <t>https://www.toyworks.kr/service/company.php (회사소개·문의)</t>
        </is>
      </c>
      <c r="I111" s="5" t="inlineStr">
        <is>
          <t>인천 계양구</t>
        </is>
      </c>
      <c r="J111" s="5" t="inlineStr">
        <is>
          <t>캐릭터 인형 OEM(생산·검수·유통·납품), 판촉물·기념품 유통</t>
        </is>
      </c>
      <c r="K111" s="5" t="inlineStr">
        <is>
          <t>불명(회사소개에 '중국OEM' 명시, 자체 공장·지사 여부 미공개)</t>
        </is>
      </c>
      <c r="L111" s="5" t="inlineStr">
        <is>
          <t>중국 OEM을 활용해 인형·판촉물을 공급하는 유통형 업체라 신뢰할 수 있는 현지 소싱 파트너 추가에 관심을 가질 수 있다.</t>
        </is>
      </c>
      <c r="M111" s="7" t="inlineStr">
        <is>
          <t>https://www.toyworks.kr/service/company.php ; https://www.cinavro.kr/service/company.php</t>
        </is>
      </c>
      <c r="N111" s="8" t="inlineStr"/>
      <c r="O111" s="8" t="inlineStr"/>
      <c r="P111" s="8" t="inlineStr"/>
      <c r="Q111" s="8" t="inlineStr"/>
      <c r="R111" s="8" t="inlineStr"/>
      <c r="S111" s="8" t="inlineStr"/>
      <c r="T111" s="8" t="inlineStr"/>
    </row>
    <row r="112">
      <c r="A112" s="5" t="n">
        <v>111</v>
      </c>
      <c r="B112" s="9" t="inlineStr">
        <is>
          <t>중</t>
        </is>
      </c>
      <c r="C112" s="5" t="inlineStr">
        <is>
          <t>아이텐션</t>
        </is>
      </c>
      <c r="D112" s="5" t="inlineStr">
        <is>
          <t>캐릭터·IP·팬굿즈 기획사</t>
        </is>
      </c>
      <c r="E112" s="7" t="inlineStr">
        <is>
          <t>https://itension.co.kr/</t>
        </is>
      </c>
      <c r="F112" s="5" t="inlineStr">
        <is>
          <t>070-8015-2628</t>
        </is>
      </c>
      <c r="G112" s="5" t="inlineStr">
        <is>
          <t>itension@naver.com</t>
        </is>
      </c>
      <c r="H112" s="5" t="inlineStr">
        <is>
          <t>https://itension.co.kr/ (온라인 주문·문의)</t>
        </is>
      </c>
      <c r="I112" s="5" t="inlineStr">
        <is>
          <t>경기 김포시</t>
        </is>
      </c>
      <c r="J112" s="5" t="inlineStr">
        <is>
          <t>아크릴 키링·스탠드·코롯토, 캐릭터 피규어, 등신대, 디오라마, 패브릭 굿즈</t>
        </is>
      </c>
      <c r="K112" s="5" t="inlineStr">
        <is>
          <t>약함(국내 인쇄·아크릴 자체 제작 위주, 중국 거점 언급 없음)</t>
        </is>
      </c>
      <c r="L112" s="5" t="inlineStr">
        <is>
          <t>아크릴 굿즈는 국내 자체 가공하지만 피규어·패브릭 등 품목 확장 시 중국 소싱이 필요할 수 있어 보조 파트너로 접근 가능하다.</t>
        </is>
      </c>
      <c r="M112" s="7" t="inlineStr">
        <is>
          <t>https://itension.co.kr/ ; https://www.daangn.com/kr/local-profile/6204/</t>
        </is>
      </c>
      <c r="N112" s="8" t="inlineStr"/>
      <c r="O112" s="8" t="inlineStr"/>
      <c r="P112" s="8" t="inlineStr"/>
      <c r="Q112" s="8" t="inlineStr"/>
      <c r="R112" s="8" t="inlineStr"/>
      <c r="S112" s="8" t="inlineStr"/>
      <c r="T112" s="8" t="inlineStr"/>
    </row>
    <row r="113">
      <c r="A113" s="5" t="n">
        <v>112</v>
      </c>
      <c r="B113" s="9" t="inlineStr">
        <is>
          <t>중</t>
        </is>
      </c>
      <c r="C113" s="5" t="inlineStr">
        <is>
          <t>이너부스(INABOOTH)</t>
        </is>
      </c>
      <c r="D113" s="5" t="inlineStr">
        <is>
          <t>캐릭터·IP·팬굿즈 기획사</t>
        </is>
      </c>
      <c r="E113" s="7" t="inlineStr">
        <is>
          <t>https://inabooth.io/</t>
        </is>
      </c>
      <c r="F113" s="5" t="inlineStr"/>
      <c r="G113" s="5" t="inlineStr"/>
      <c r="H113" s="5" t="inlineStr">
        <is>
          <t>https://inabooth.io/ko (플랫폼 내 채팅·협업 제안)</t>
        </is>
      </c>
      <c r="I113" s="5" t="inlineStr">
        <is>
          <t>서울 마포구</t>
        </is>
      </c>
      <c r="J113" s="5" t="inlineStr">
        <is>
          <t>캐릭터 IP 라이선싱·콜라보 중개, MD(굿즈) 제작 지원, IP 트렌드 정보</t>
        </is>
      </c>
      <c r="K113" s="5" t="inlineStr">
        <is>
          <t>불명(IP 거래 플랫폼으로 자체 생산 거점 언급 없음)</t>
        </is>
      </c>
      <c r="L113" s="5" t="inlineStr">
        <is>
          <t>캐릭터 IP 라이선싱부터 MD 제작까지 원스톱 지원을 표방하는 플랫폼이라 굿즈 제작 단계에서 연결할 중국 소싱 파트너가 필요할 수 있다.</t>
        </is>
      </c>
      <c r="M113" s="7" t="inlineStr">
        <is>
          <t>https://inabooth.io/en ; https://news.mt.co.kr/mtview.php?no=2022050311250916932</t>
        </is>
      </c>
      <c r="N113" s="8" t="inlineStr"/>
      <c r="O113" s="8" t="inlineStr"/>
      <c r="P113" s="8" t="inlineStr"/>
      <c r="Q113" s="8" t="inlineStr"/>
      <c r="R113" s="8" t="inlineStr"/>
      <c r="S113" s="8" t="inlineStr"/>
      <c r="T113" s="8" t="inlineStr"/>
    </row>
    <row r="114">
      <c r="A114" s="5" t="n">
        <v>113</v>
      </c>
      <c r="B114" s="9" t="inlineStr">
        <is>
          <t>중</t>
        </is>
      </c>
      <c r="C114" s="5" t="inlineStr">
        <is>
          <t>케빈스룸</t>
        </is>
      </c>
      <c r="D114" s="5" t="inlineStr">
        <is>
          <t>캐릭터·IP·팬굿즈 기획사</t>
        </is>
      </c>
      <c r="E114" s="7" t="inlineStr">
        <is>
          <t>https://www.kevinsroom.co.kr/</t>
        </is>
      </c>
      <c r="F114" s="5" t="inlineStr">
        <is>
          <t>070-4333-2019</t>
        </is>
      </c>
      <c r="G114" s="5" t="inlineStr">
        <is>
          <t>Kevin@kevinsroom.co.kr</t>
        </is>
      </c>
      <c r="H114" s="5" t="inlineStr">
        <is>
          <t>https://www.kevinsroom.co.kr/contactmain (견적문의), 카카오톡 채널 https://pf.kakao.com/_aJxcxgxb</t>
        </is>
      </c>
      <c r="I114" s="5" t="inlineStr">
        <is>
          <t>경기 광명시</t>
        </is>
      </c>
      <c r="J114" s="5" t="inlineStr">
        <is>
          <t>캐릭터 봉제인형, 인형 키링, 파우치 키링, 핸드워머, 스트레스볼, 풉백 파우치</t>
        </is>
      </c>
      <c r="K114" s="5" t="inlineStr">
        <is>
          <t>불명(국내 제작이 어려운 봉제 인형을 합리적 단가로 제작한다고 표기, 해외 공장 소재 미공개)</t>
        </is>
      </c>
      <c r="L114" s="5" t="inlineStr">
        <is>
          <t>봉제 캐릭터 굿즈를 해외 생산 기반으로 공급하는 소규모 업체로 생산처 다변화나 신규 품목 소싱 시 중국 파트너가 유용할 수 있다.</t>
        </is>
      </c>
      <c r="M114" s="7" t="inlineStr">
        <is>
          <t>https://www.kevinsroom.co.kr/contactmain ; https://www.kevinsroom.co.kr/plushdoll</t>
        </is>
      </c>
      <c r="N114" s="8" t="inlineStr"/>
      <c r="O114" s="8" t="inlineStr"/>
      <c r="P114" s="8" t="inlineStr"/>
      <c r="Q114" s="8" t="inlineStr"/>
      <c r="R114" s="8" t="inlineStr"/>
      <c r="S114" s="8" t="inlineStr"/>
      <c r="T114" s="8" t="inlineStr"/>
    </row>
    <row r="115">
      <c r="A115" s="5" t="n">
        <v>114</v>
      </c>
      <c r="B115" s="9" t="inlineStr">
        <is>
          <t>중</t>
        </is>
      </c>
      <c r="C115" s="5" t="inlineStr">
        <is>
          <t>위오아이엔씨(WEO)</t>
        </is>
      </c>
      <c r="D115" s="5" t="inlineStr">
        <is>
          <t>캐릭터·IP·팬굿즈 기획사 · 판촉물·굿즈 제작대행사</t>
        </is>
      </c>
      <c r="E115" s="7" t="inlineStr">
        <is>
          <t>https://weo.co.kr/</t>
        </is>
      </c>
      <c r="F115" s="5" t="inlineStr">
        <is>
          <t>02-2088-2427</t>
        </is>
      </c>
      <c r="G115" s="5" t="inlineStr">
        <is>
          <t>weomail@weo.co.kr</t>
        </is>
      </c>
      <c r="H115" s="5" t="inlineStr">
        <is>
          <t>https://weo.co.kr/ (제작 문의 게시판)</t>
        </is>
      </c>
      <c r="I115" s="5" t="inlineStr">
        <is>
          <t>서울 영등포구</t>
        </is>
      </c>
      <c r="J115" s="5" t="inlineStr">
        <is>
          <t>봉제인형(아이돌 인형, 라이선스 캐릭터 인형), 캐릭터 굿즈, 프로모션 상품 / 봉제인형, 캐릭터·아이돌 IP 굿즈, 프로모션 상품</t>
        </is>
      </c>
      <c r="K115" s="5" t="inlineStr">
        <is>
          <t>불명(인형 샘플실 및 직영공장 보유 표기, 공장 소재지 미공개)</t>
        </is>
      </c>
      <c r="L115" s="5" t="inlineStr">
        <is>
          <t>인형 직영공장을 보유해 봉제는 자체 처리하나 아이돌·IP 굿즈로 품목이 넓어 비봉제 품목의 중국 소싱 파트너가 필요할 수 있다. / 봉제 자체 공장을 보유해 인형류는 자급하지만 그 외 굿즈 카테고리는 외부 소싱이 필요할 수 있다.</t>
        </is>
      </c>
      <c r="M115" s="7" t="inlineStr">
        <is>
          <t>https://weo.co.kr/ ; https://bizno.net/article/7378700350</t>
        </is>
      </c>
      <c r="N115" s="8" t="inlineStr"/>
      <c r="O115" s="8" t="inlineStr"/>
      <c r="P115" s="8" t="inlineStr"/>
      <c r="Q115" s="8" t="inlineStr"/>
      <c r="R115" s="8" t="inlineStr"/>
      <c r="S115" s="8" t="inlineStr"/>
      <c r="T115" s="8" t="inlineStr"/>
    </row>
    <row r="116">
      <c r="A116" s="5" t="n">
        <v>115</v>
      </c>
      <c r="B116" s="9" t="inlineStr">
        <is>
          <t>중</t>
        </is>
      </c>
      <c r="C116" s="5" t="inlineStr">
        <is>
          <t>굿즈24((주)위펀)</t>
        </is>
      </c>
      <c r="D116" s="5" t="inlineStr">
        <is>
          <t>판촉물·굿즈 제작대행사</t>
        </is>
      </c>
      <c r="E116" s="7" t="inlineStr">
        <is>
          <t>https://wefuncorp.com/goods</t>
        </is>
      </c>
      <c r="F116" s="5" t="inlineStr">
        <is>
          <t>1644-4624</t>
        </is>
      </c>
      <c r="G116" s="5" t="inlineStr">
        <is>
          <t>sales@snack24h.com</t>
        </is>
      </c>
      <c r="H116" s="5" t="inlineStr">
        <is>
          <t>https://wefuncorp.com/goods (굿즈24 상담 신청)</t>
        </is>
      </c>
      <c r="I116" s="5" t="inlineStr">
        <is>
          <t>서울 강남구</t>
        </is>
      </c>
      <c r="J116" s="5" t="inlineStr">
        <is>
          <t>기업 웰컴키트, 오피스 키트, 아이돌·웹툰 IP 굿즈, 브랜드 굿즈</t>
        </is>
      </c>
      <c r="K116" s="5" t="inlineStr">
        <is>
          <t>불명(자체 공장·중국 지사 언급 확인 안 됨)</t>
        </is>
      </c>
      <c r="L116" s="5" t="inlineStr">
        <is>
          <t>기업복지 플랫폼(스낵24)의 굿즈 사업부로 자체 제조가 없어 외부 소싱 파트너가 필요하지만 기존 거래 벤더가 있을 가능성이 있다.</t>
        </is>
      </c>
      <c r="M116" s="7" t="inlineStr">
        <is>
          <t>https://wefuncorp.com/goods</t>
        </is>
      </c>
      <c r="N116" s="8" t="inlineStr"/>
      <c r="O116" s="8" t="inlineStr"/>
      <c r="P116" s="8" t="inlineStr"/>
      <c r="Q116" s="8" t="inlineStr"/>
      <c r="R116" s="8" t="inlineStr"/>
      <c r="S116" s="8" t="inlineStr"/>
      <c r="T116" s="8" t="inlineStr"/>
    </row>
    <row r="117">
      <c r="A117" s="5" t="n">
        <v>116</v>
      </c>
      <c r="B117" s="9" t="inlineStr">
        <is>
          <t>중</t>
        </is>
      </c>
      <c r="C117" s="5" t="inlineStr">
        <is>
          <t>빅스템(BIGSTEM)</t>
        </is>
      </c>
      <c r="D117" s="5" t="inlineStr">
        <is>
          <t>판촉물·굿즈 제작대행사</t>
        </is>
      </c>
      <c r="E117" s="7" t="inlineStr">
        <is>
          <t>https://bigstem.co.kr/</t>
        </is>
      </c>
      <c r="F117" s="5" t="inlineStr"/>
      <c r="G117" s="5" t="inlineStr">
        <is>
          <t>smooji@daum.net</t>
        </is>
      </c>
      <c r="H117" s="5" t="inlineStr">
        <is>
          <t>카카오톡 채널 https://pf.kakao.com/_xihxixnb, https://bigstem.co.kr/ (제작문의)</t>
        </is>
      </c>
      <c r="I117" s="5" t="inlineStr">
        <is>
          <t>서울 강북구</t>
        </is>
      </c>
      <c r="J117" s="5" t="inlineStr">
        <is>
          <t>레디백, 폴딩카트, 봉제인형 키링, 리유저블백 등 기업·전시·행사 프로모션 굿즈</t>
        </is>
      </c>
      <c r="K117" s="5" t="inlineStr">
        <is>
          <t>약함(중국 주요 제조업체에 직원 파견해 협력관계 구축 언급, 자체 공장·지사는 아님)</t>
        </is>
      </c>
      <c r="L117" s="5" t="inlineStr">
        <is>
          <t>이미 중국 협력 제조사 네트워크를 운영하지만 자체 법인은 없어 신규 카테고리 소싱이나 검수 대행 파트너로는 협업 여지가 있다.</t>
        </is>
      </c>
      <c r="M117" s="7" t="inlineStr">
        <is>
          <t>https://bigstem.co.kr/about-us/</t>
        </is>
      </c>
      <c r="N117" s="8" t="inlineStr"/>
      <c r="O117" s="8" t="inlineStr"/>
      <c r="P117" s="8" t="inlineStr"/>
      <c r="Q117" s="8" t="inlineStr"/>
      <c r="R117" s="8" t="inlineStr"/>
      <c r="S117" s="8" t="inlineStr"/>
      <c r="T117" s="8" t="inlineStr"/>
    </row>
    <row r="118">
      <c r="A118" s="5" t="n">
        <v>117</v>
      </c>
      <c r="B118" s="9" t="inlineStr">
        <is>
          <t>중</t>
        </is>
      </c>
      <c r="C118" s="5" t="inlineStr">
        <is>
          <t>올댓프린팅</t>
        </is>
      </c>
      <c r="D118" s="5" t="inlineStr">
        <is>
          <t>판촉물·굿즈 제작대행사</t>
        </is>
      </c>
      <c r="E118" s="7" t="inlineStr">
        <is>
          <t>https://allthatprinting.co.kr/</t>
        </is>
      </c>
      <c r="F118" s="5" t="inlineStr">
        <is>
          <t>031-418-1109</t>
        </is>
      </c>
      <c r="G118" s="5" t="inlineStr">
        <is>
          <t>allthatprinting.m@gmail.com</t>
        </is>
      </c>
      <c r="H118" s="5" t="inlineStr">
        <is>
          <t>https://allthatprinting.co.kr/board/문의하기/6/ (문의 게시판)</t>
        </is>
      </c>
      <c r="I118" s="5" t="inlineStr">
        <is>
          <t>안산 단원구</t>
        </is>
      </c>
      <c r="J118" s="5" t="inlineStr">
        <is>
          <t>아크릴 키링·스탠드·코롯토·스마트톡, NFC 굿즈, 기업 홍보 굿즈</t>
        </is>
      </c>
      <c r="K118" s="5" t="inlineStr">
        <is>
          <t>약함(국내 아크릴 자체 생산 위주, 중국 공장·지사 언급 없음)</t>
        </is>
      </c>
      <c r="L118" s="5" t="inlineStr">
        <is>
          <t>아크릴 굿즈는 국내 자체 생산하지만 기업 홍보 굿즈 카테고리 확장 시 아크릴 외 품목의 중국 소싱 파트너가 필요할 수 있다.</t>
        </is>
      </c>
      <c r="M118" s="7" t="inlineStr">
        <is>
          <t>https://allthatprinting.co.kr/about.html</t>
        </is>
      </c>
      <c r="N118" s="8" t="inlineStr"/>
      <c r="O118" s="8" t="inlineStr"/>
      <c r="P118" s="8" t="inlineStr"/>
      <c r="Q118" s="8" t="inlineStr"/>
      <c r="R118" s="8" t="inlineStr"/>
      <c r="S118" s="8" t="inlineStr"/>
      <c r="T118" s="8" t="inlineStr"/>
    </row>
    <row r="119">
      <c r="A119" s="5" t="n">
        <v>118</v>
      </c>
      <c r="B119" s="10" t="inlineStr">
        <is>
          <t>하</t>
        </is>
      </c>
      <c r="C119" s="5" t="inlineStr">
        <is>
          <t>기프트위키</t>
        </is>
      </c>
      <c r="D119" s="5" t="inlineStr">
        <is>
          <t>관공서·학교·금융·프랜차이즈 판촉 납품업체</t>
        </is>
      </c>
      <c r="E119" s="7" t="inlineStr">
        <is>
          <t>https://giftwiki.kr/</t>
        </is>
      </c>
      <c r="F119" s="5" t="inlineStr">
        <is>
          <t>1522-8992</t>
        </is>
      </c>
      <c r="G119" s="5" t="inlineStr"/>
      <c r="H119" s="5" t="inlineStr"/>
      <c r="I119" s="5" t="inlineStr"/>
      <c r="J119" s="5" t="inlineStr">
        <is>
          <t>기념품·홍보용품 맞춤 제작 판촉물</t>
        </is>
      </c>
      <c r="K119" s="5" t="inlineStr">
        <is>
          <t>불명(사이트 접근 차단으로 확인 불가)</t>
        </is>
      </c>
      <c r="L119" s="5" t="inlineStr">
        <is>
          <t>기념품·홍보용품 맞춤 제작 판촉몰로 검색에 노출되나 취급 규모와 연락처를 확인하지 못해 우선순위는 낮음.</t>
        </is>
      </c>
      <c r="M119" s="7" t="inlineStr">
        <is>
          <t>https://giftwiki.kr/</t>
        </is>
      </c>
      <c r="N119" s="8" t="inlineStr"/>
      <c r="O119" s="8" t="inlineStr"/>
      <c r="P119" s="8" t="inlineStr"/>
      <c r="Q119" s="8" t="inlineStr"/>
      <c r="R119" s="8" t="inlineStr"/>
      <c r="S119" s="8" t="inlineStr"/>
      <c r="T119" s="8" t="inlineStr"/>
    </row>
    <row r="120">
      <c r="A120" s="5" t="n">
        <v>119</v>
      </c>
      <c r="B120" s="10" t="inlineStr">
        <is>
          <t>하</t>
        </is>
      </c>
      <c r="C120" s="5" t="inlineStr">
        <is>
          <t>딜리버리팩토리((주)커넥트어센드)</t>
        </is>
      </c>
      <c r="D120" s="5" t="inlineStr">
        <is>
          <t>무역·소싱대행·수입도매</t>
        </is>
      </c>
      <c r="E120" s="7" t="inlineStr">
        <is>
          <t>https://deliveryfactory.co.kr</t>
        </is>
      </c>
      <c r="F120" s="5" t="inlineStr">
        <is>
          <t>070-8834-1001</t>
        </is>
      </c>
      <c r="G120" s="5" t="inlineStr">
        <is>
          <t>mousy008@cscommerce.co.kr</t>
        </is>
      </c>
      <c r="H120" s="5" t="inlineStr">
        <is>
          <t>https://deliveryfactory.co.kr/service</t>
        </is>
      </c>
      <c r="I120" s="5" t="inlineStr">
        <is>
          <t>서울 서초구</t>
        </is>
      </c>
      <c r="J120" s="5" t="inlineStr">
        <is>
          <t>중국수입대행, OEM제조, 식약처검사대행, 물류관리</t>
        </is>
      </c>
      <c r="K120" s="5" t="inlineStr">
        <is>
          <t>강함(자체공장/지사)(중국공장 직수입·OEM 제조 서비스를 자체 운영)</t>
        </is>
      </c>
      <c r="L120" s="5" t="inlineStr">
        <is>
          <t>중국공장 직수입·OEM 대행을 자체 서비스로 운영하는 직접 경쟁사로 외부 소싱 파트너 수요가 낮다.</t>
        </is>
      </c>
      <c r="M120" s="7" t="inlineStr">
        <is>
          <t>https://deliveryfactory.co.kr/</t>
        </is>
      </c>
      <c r="N120" s="8" t="inlineStr"/>
      <c r="O120" s="8" t="inlineStr"/>
      <c r="P120" s="8" t="inlineStr"/>
      <c r="Q120" s="8" t="inlineStr"/>
      <c r="R120" s="8" t="inlineStr"/>
      <c r="S120" s="8" t="inlineStr"/>
      <c r="T120" s="8" t="inlineStr"/>
    </row>
    <row r="121">
      <c r="A121" s="5" t="n">
        <v>120</v>
      </c>
      <c r="B121" s="10" t="inlineStr">
        <is>
          <t>하</t>
        </is>
      </c>
      <c r="C121" s="5" t="inlineStr">
        <is>
          <t>세인(SEIN)</t>
        </is>
      </c>
      <c r="D121" s="5" t="inlineStr">
        <is>
          <t>무역·소싱대행·수입도매</t>
        </is>
      </c>
      <c r="E121" s="5" t="inlineStr"/>
      <c r="F121" s="5" t="inlineStr"/>
      <c r="G121" s="5" t="inlineStr"/>
      <c r="H121" s="5" t="inlineStr"/>
      <c r="I121" s="5" t="inlineStr"/>
      <c r="J121" s="5" t="inlineStr">
        <is>
          <t>중국 완제품 소싱·구매대행, OEM 제작·생산관리, 검품·국제물류</t>
        </is>
      </c>
      <c r="K121" s="5" t="inlineStr">
        <is>
          <t>강함(자체공장/지사)(중국 현지법인·한국지사 운영, 대표 중국 거주 26년)</t>
        </is>
      </c>
      <c r="L121" s="5" t="inlineStr">
        <is>
          <t>중국 현지법인을 직접 운영하며 소싱·OEM·검품을 일괄 수행하는 직접 경쟁사다.</t>
        </is>
      </c>
      <c r="M121" s="7" t="inlineStr">
        <is>
          <t>https://www.japantalk.net/free/?mod=document&amp;uid=5110</t>
        </is>
      </c>
      <c r="N121" s="8" t="inlineStr"/>
      <c r="O121" s="8" t="inlineStr"/>
      <c r="P121" s="8" t="inlineStr"/>
      <c r="Q121" s="8" t="inlineStr"/>
      <c r="R121" s="8" t="inlineStr"/>
      <c r="S121" s="8" t="inlineStr"/>
      <c r="T121" s="8" t="inlineStr"/>
    </row>
    <row r="122">
      <c r="A122" s="5" t="n">
        <v>121</v>
      </c>
      <c r="B122" s="10" t="inlineStr">
        <is>
          <t>하</t>
        </is>
      </c>
      <c r="C122" s="5" t="inlineStr">
        <is>
          <t>소싱차이나</t>
        </is>
      </c>
      <c r="D122" s="5" t="inlineStr">
        <is>
          <t>무역·소싱대행·수입도매</t>
        </is>
      </c>
      <c r="E122" s="7" t="inlineStr">
        <is>
          <t>https://sourcingchina.co.kr</t>
        </is>
      </c>
      <c r="F122" s="5" t="inlineStr"/>
      <c r="G122" s="5" t="inlineStr"/>
      <c r="H122" s="5" t="inlineStr">
        <is>
          <t>https://sourcingchina.co.kr/</t>
        </is>
      </c>
      <c r="I122" s="5" t="inlineStr"/>
      <c r="J122" s="5" t="inlineStr">
        <is>
          <t>중국수입대행, 굿즈제작(OEM), 의류사입, 안전인증 대행</t>
        </is>
      </c>
      <c r="K122" s="5" t="inlineStr">
        <is>
          <t>불명(중국 수입대행 전문이나 자체 지사 여부 미확인)</t>
        </is>
      </c>
      <c r="L122" s="5" t="inlineStr">
        <is>
          <t>중국 수입대행·굿즈 OEM을 직접 수행하는 동종 경쟁사다.</t>
        </is>
      </c>
      <c r="M122" s="7" t="inlineStr">
        <is>
          <t>https://sourcingchina.co.kr/go_01/</t>
        </is>
      </c>
      <c r="N122" s="8" t="inlineStr"/>
      <c r="O122" s="8" t="inlineStr"/>
      <c r="P122" s="8" t="inlineStr"/>
      <c r="Q122" s="8" t="inlineStr"/>
      <c r="R122" s="8" t="inlineStr"/>
      <c r="S122" s="8" t="inlineStr"/>
      <c r="T122" s="8" t="inlineStr"/>
    </row>
    <row r="123">
      <c r="A123" s="5" t="n">
        <v>122</v>
      </c>
      <c r="B123" s="10" t="inlineStr">
        <is>
          <t>하</t>
        </is>
      </c>
      <c r="C123" s="5" t="inlineStr">
        <is>
          <t>이우허브</t>
        </is>
      </c>
      <c r="D123" s="5" t="inlineStr">
        <is>
          <t>무역·소싱대행·수입도매</t>
        </is>
      </c>
      <c r="E123" s="7" t="inlineStr">
        <is>
          <t>https://www.yiwuhub.net</t>
        </is>
      </c>
      <c r="F123" s="5" t="inlineStr"/>
      <c r="G123" s="5" t="inlineStr"/>
      <c r="H123" s="5" t="inlineStr">
        <is>
          <t>https://www.yiwuhub.net/34</t>
        </is>
      </c>
      <c r="I123" s="5" t="inlineStr"/>
      <c r="J123" s="5" t="inlineStr">
        <is>
          <t>중국(이우) 수입대행, OEM</t>
        </is>
      </c>
      <c r="K123" s="5" t="inlineStr">
        <is>
          <t>불명(이우 기반 수입대행 표방, 자체 지사 여부 미확인)</t>
        </is>
      </c>
      <c r="L123" s="5" t="inlineStr">
        <is>
          <t>이우 도매시장 기반 수입대행·OEM을 직접 제공하는 동종 경쟁사다.</t>
        </is>
      </c>
      <c r="M123" s="7" t="inlineStr">
        <is>
          <t>https://www.yiwuhub.net/34</t>
        </is>
      </c>
      <c r="N123" s="8" t="inlineStr"/>
      <c r="O123" s="8" t="inlineStr"/>
      <c r="P123" s="8" t="inlineStr"/>
      <c r="Q123" s="8" t="inlineStr"/>
      <c r="R123" s="8" t="inlineStr"/>
      <c r="S123" s="8" t="inlineStr"/>
      <c r="T123" s="8" t="inlineStr"/>
    </row>
    <row r="124">
      <c r="A124" s="5" t="n">
        <v>123</v>
      </c>
      <c r="B124" s="10" t="inlineStr">
        <is>
          <t>하</t>
        </is>
      </c>
      <c r="C124" s="5" t="inlineStr">
        <is>
          <t>홀세일차이나</t>
        </is>
      </c>
      <c r="D124" s="5" t="inlineStr">
        <is>
          <t>무역·소싱대행·수입도매</t>
        </is>
      </c>
      <c r="E124" s="7" t="inlineStr">
        <is>
          <t>https://wholesalechina.co.kr</t>
        </is>
      </c>
      <c r="F124" s="5" t="inlineStr">
        <is>
          <t>070-8248-6654</t>
        </is>
      </c>
      <c r="G124" s="5" t="inlineStr"/>
      <c r="H124" s="5" t="inlineStr">
        <is>
          <t>https://wholesalechina.co.kr/board/list/code/faq</t>
        </is>
      </c>
      <c r="I124" s="5" t="inlineStr"/>
      <c r="J124" s="5" t="inlineStr">
        <is>
          <t>중국 구매대행, 시장조사, 수입대행, 배송대행(중국 현지 물류센터)</t>
        </is>
      </c>
      <c r="K124" s="5" t="inlineStr">
        <is>
          <t>강함(자체공장/지사)(중국 현지 물류센터 운영 명시)</t>
        </is>
      </c>
      <c r="L124" s="5" t="inlineStr">
        <is>
          <t>중국 현지 물류센터와 수입대행을 직접 운영하는 경쟁사로 외부 소싱망이 필요하지 않다.</t>
        </is>
      </c>
      <c r="M124" s="7" t="inlineStr">
        <is>
          <t>https://wholesalechina.co.kr/agency/delivery</t>
        </is>
      </c>
      <c r="N124" s="8" t="inlineStr"/>
      <c r="O124" s="8" t="inlineStr"/>
      <c r="P124" s="8" t="inlineStr"/>
      <c r="Q124" s="8" t="inlineStr"/>
      <c r="R124" s="8" t="inlineStr"/>
      <c r="S124" s="8" t="inlineStr"/>
      <c r="T124" s="8" t="inlineStr"/>
    </row>
    <row r="125">
      <c r="A125" s="5" t="n">
        <v>124</v>
      </c>
      <c r="B125" s="10" t="inlineStr">
        <is>
          <t>하</t>
        </is>
      </c>
      <c r="C125" s="5" t="inlineStr">
        <is>
          <t>드림토이</t>
        </is>
      </c>
      <c r="D125" s="5" t="inlineStr">
        <is>
          <t>소규모 판촉물·패키징 중개벤더</t>
        </is>
      </c>
      <c r="E125" s="7" t="inlineStr">
        <is>
          <t>http://www.dreamtoy.co.kr</t>
        </is>
      </c>
      <c r="F125" s="5" t="inlineStr">
        <is>
          <t>02-896-2020</t>
        </is>
      </c>
      <c r="G125" s="5" t="inlineStr"/>
      <c r="H125" s="5" t="inlineStr">
        <is>
          <t>http://www.dreamtoy.co.kr/sub03/sub01.php</t>
        </is>
      </c>
      <c r="I125" s="5" t="inlineStr">
        <is>
          <t>서울 금천구</t>
        </is>
      </c>
      <c r="J125" s="5" t="inlineStr">
        <is>
          <t>캐릭터 인형 주문제작, 기업·방송사·이벤트사 OEM 인형 굿즈</t>
        </is>
      </c>
      <c r="K125" s="5" t="inlineStr">
        <is>
          <t>강함(자체공장/지사) — 한국·중국 자체 공장 운영 명시</t>
        </is>
      </c>
      <c r="L125" s="5" t="inlineStr">
        <is>
          <t>가산 인근 인형 OEM 업체이나 이미 중국 자체 공장을 보유해 소싱 대행 수요는 낮음.</t>
        </is>
      </c>
      <c r="M125" s="7" t="inlineStr">
        <is>
          <t>https://dreamtoy.co.kr/</t>
        </is>
      </c>
      <c r="N125" s="8" t="inlineStr"/>
      <c r="O125" s="8" t="inlineStr"/>
      <c r="P125" s="8" t="inlineStr"/>
      <c r="Q125" s="8" t="inlineStr"/>
      <c r="R125" s="8" t="inlineStr"/>
      <c r="S125" s="8" t="inlineStr"/>
      <c r="T125" s="8" t="inlineStr"/>
    </row>
    <row r="126">
      <c r="A126" s="5" t="n">
        <v>125</v>
      </c>
      <c r="B126" s="10" t="inlineStr">
        <is>
          <t>하</t>
        </is>
      </c>
      <c r="C126" s="5" t="inlineStr">
        <is>
          <t>(주)우정피앤피</t>
        </is>
      </c>
      <c r="D126" s="5" t="inlineStr">
        <is>
          <t>제약·의료·치과 판촉물 벤더</t>
        </is>
      </c>
      <c r="E126" s="7" t="inlineStr">
        <is>
          <t>https://www.wjung.com/</t>
        </is>
      </c>
      <c r="F126" s="5" t="inlineStr">
        <is>
          <t>02-2285-1589</t>
        </is>
      </c>
      <c r="G126" s="5" t="inlineStr">
        <is>
          <t>kind3000@hanmail.net</t>
        </is>
      </c>
      <c r="H126" s="5" t="inlineStr">
        <is>
          <t>https://www.wjung.com/contact/guide.html</t>
        </is>
      </c>
      <c r="I126" s="5" t="inlineStr">
        <is>
          <t>서울 중구</t>
        </is>
      </c>
      <c r="J126" s="5" t="inlineStr">
        <is>
          <t>홍보물, 굿즈, 카탈로그·브로셔, 박스 패키지, 엽서, 소량 인쇄물</t>
        </is>
      </c>
      <c r="K126" s="5" t="inlineStr">
        <is>
          <t>약함 (서울 충무로 자체 인쇄소 보유, 중국 공장·지사 언급 없음)</t>
        </is>
      </c>
      <c r="L126" s="5" t="inlineStr">
        <is>
          <t>임플란트·치과 홍보물 검색에 노출되는 인쇄 기반 홍보물·굿즈 제작사로 인쇄 외 굿즈 품목은 외주 소싱이 필요할 것으로 보임.</t>
        </is>
      </c>
      <c r="M126" s="7" t="inlineStr">
        <is>
          <t>https://www.wjung.com/contact/guide.html</t>
        </is>
      </c>
      <c r="N126" s="8" t="inlineStr"/>
      <c r="O126" s="8" t="inlineStr"/>
      <c r="P126" s="8" t="inlineStr"/>
      <c r="Q126" s="8" t="inlineStr"/>
      <c r="R126" s="8" t="inlineStr"/>
      <c r="S126" s="8" t="inlineStr"/>
      <c r="T126" s="8" t="inlineStr"/>
    </row>
    <row r="127">
      <c r="A127" s="5" t="n">
        <v>126</v>
      </c>
      <c r="B127" s="10" t="inlineStr">
        <is>
          <t>하</t>
        </is>
      </c>
      <c r="C127" s="5" t="inlineStr">
        <is>
          <t>세명사</t>
        </is>
      </c>
      <c r="D127" s="5" t="inlineStr">
        <is>
          <t>제약·의료·치과 판촉물 벤더</t>
        </is>
      </c>
      <c r="E127" s="7" t="inlineStr">
        <is>
          <t>https://www.sm1982.com/</t>
        </is>
      </c>
      <c r="F127" s="5" t="inlineStr"/>
      <c r="G127" s="5" t="inlineStr"/>
      <c r="H127" s="5" t="inlineStr">
        <is>
          <t>https://www.sm1982.com/</t>
        </is>
      </c>
      <c r="I127" s="5" t="inlineStr"/>
      <c r="J127" s="5" t="inlineStr">
        <is>
          <t>클립펜 주문제작, 다색볼펜·형광펜·메탈펜, 문구세트, 수첩, 기획상품</t>
        </is>
      </c>
      <c r="K127" s="5" t="inlineStr">
        <is>
          <t>강함(자체공장/지사) 추정 (사이트에 중국 공장 생산 상품 및 국내제작사례 구분 표기)</t>
        </is>
      </c>
      <c r="L127" s="5" t="inlineStr">
        <is>
          <t>제약사 판촉 단골인 클립펜 주문제작을 전문으로 하나 이미 중국 공장 생산 라인을 언급하고 있어 신규 소싱 수요는 제한적임.</t>
        </is>
      </c>
      <c r="M127" s="7" t="inlineStr">
        <is>
          <t>https://www.sm1982.com/shop/item.php?it_id=00111658455335</t>
        </is>
      </c>
      <c r="N127" s="8" t="inlineStr"/>
      <c r="O127" s="8" t="inlineStr"/>
      <c r="P127" s="8" t="inlineStr"/>
      <c r="Q127" s="8" t="inlineStr"/>
      <c r="R127" s="8" t="inlineStr"/>
      <c r="S127" s="8" t="inlineStr"/>
      <c r="T127" s="8" t="inlineStr"/>
    </row>
    <row r="128">
      <c r="A128" s="5" t="n">
        <v>127</v>
      </c>
      <c r="B128" s="10" t="inlineStr">
        <is>
          <t>하</t>
        </is>
      </c>
      <c r="C128" s="5" t="inlineStr">
        <is>
          <t>쿠디솜</t>
        </is>
      </c>
      <c r="D128" s="5" t="inlineStr">
        <is>
          <t>캐릭터·IP·팬굿즈 기획사</t>
        </is>
      </c>
      <c r="E128" s="7" t="inlineStr">
        <is>
          <t>https://www.qudisom.com/</t>
        </is>
      </c>
      <c r="F128" s="5" t="inlineStr">
        <is>
          <t>1666-0211</t>
        </is>
      </c>
      <c r="G128" s="5" t="inlineStr"/>
      <c r="H128" s="5" t="inlineStr">
        <is>
          <t>https://www.qudisom.com/ (고객 문의 게시판·주문 프로세스 페이지)</t>
        </is>
      </c>
      <c r="I128" s="5" t="inlineStr">
        <is>
          <t>인천 남동구</t>
        </is>
      </c>
      <c r="J128" s="5" t="inlineStr">
        <is>
          <t>캐릭터 인형·봉제 아이템, 캐릭터 굿즈, KC인증 대행</t>
        </is>
      </c>
      <c r="K128" s="5" t="inlineStr">
        <is>
          <t>강함(자체공장/지사)(항저우·양저우·웨이팡 직영 공장 주소 공개, 중간 유통 없이 직접 생산)</t>
        </is>
      </c>
      <c r="L128" s="5" t="inlineStr">
        <is>
          <t>중국 직영 공장 3곳 이상을 운영하는 구조라 외부 중국 소싱 파트너 필요성이 낮고 오히려 경쟁사에 가깝다.</t>
        </is>
      </c>
      <c r="M128" s="7" t="inlineStr">
        <is>
          <t>https://www.qudisom.com/ ; https://www.qudisom.com/sewingorder</t>
        </is>
      </c>
      <c r="N128" s="8" t="inlineStr"/>
      <c r="O128" s="8" t="inlineStr"/>
      <c r="P128" s="8" t="inlineStr"/>
      <c r="Q128" s="8" t="inlineStr"/>
      <c r="R128" s="8" t="inlineStr"/>
      <c r="S128" s="8" t="inlineStr"/>
      <c r="T128" s="8" t="inlineStr"/>
    </row>
    <row r="129">
      <c r="A129" s="5" t="n">
        <v>128</v>
      </c>
      <c r="B129" s="10" t="inlineStr">
        <is>
          <t>하</t>
        </is>
      </c>
      <c r="C129" s="5" t="inlineStr">
        <is>
          <t>팔팔토이(88TOY)</t>
        </is>
      </c>
      <c r="D129" s="5" t="inlineStr">
        <is>
          <t>캐릭터·IP·팬굿즈 기획사 · 소규모 판촉물·패키징 중개벤더</t>
        </is>
      </c>
      <c r="E129" s="7" t="inlineStr">
        <is>
          <t>http://www.88toy.co.kr/</t>
        </is>
      </c>
      <c r="F129" s="5" t="inlineStr">
        <is>
          <t>02-6052-0150</t>
        </is>
      </c>
      <c r="G129" s="5" t="inlineStr">
        <is>
          <t>pp.88toy@gmail.com</t>
        </is>
      </c>
      <c r="H129" s="5" t="inlineStr">
        <is>
          <t>http://www.88toy.co.kr/ABOUTOEM (제작문의 게시판 후 이메일 접수)</t>
        </is>
      </c>
      <c r="I129" s="5" t="inlineStr">
        <is>
          <t>서울 구로구</t>
        </is>
      </c>
      <c r="J129" s="5" t="inlineStr">
        <is>
          <t>캐릭터 봉제인형 OEM(샘플 1개~10만개), 인형 부자재·라벨 / 캐릭터 인형·봉제 굿즈 OEM, 소량 샘플~대량 제작</t>
        </is>
      </c>
      <c r="K129" s="5" t="inlineStr">
        <is>
          <t>강함(자체공장/지사)(중국 청도 공장과 독점계약해 자사 제품만 생산, 서울 항동 샘플개발실 운영)</t>
        </is>
      </c>
      <c r="L129" s="5" t="inlineStr">
        <is>
          <t>이미 청도 독점 공장을 확보한 인형 제조사로 인형 외 품목(피규어·잡화) 소싱이 아니면 외부 중국 파트너 수요가 낮다. / 구로 소재 소규모 인형·캐릭터 굿즈 OEM 창구로 기업 IP 굿즈 발주를 받아 해외 생산을 병행하는 업체.</t>
        </is>
      </c>
      <c r="M129" s="7" t="inlineStr">
        <is>
          <t>http://www.88toy.co.kr/ABOUTOEM ; http://www.88toy.co.kr/183</t>
        </is>
      </c>
      <c r="N129" s="8" t="inlineStr"/>
      <c r="O129" s="8" t="inlineStr"/>
      <c r="P129" s="8" t="inlineStr"/>
      <c r="Q129" s="8" t="inlineStr"/>
      <c r="R129" s="8" t="inlineStr"/>
      <c r="S129" s="8" t="inlineStr"/>
      <c r="T129" s="8" t="inlineStr"/>
    </row>
    <row r="130">
      <c r="A130" s="5" t="n">
        <v>129</v>
      </c>
      <c r="B130" s="10" t="inlineStr">
        <is>
          <t>하</t>
        </is>
      </c>
      <c r="C130" s="5" t="inlineStr">
        <is>
          <t>고굿즈(GOGOODS)</t>
        </is>
      </c>
      <c r="D130" s="5" t="inlineStr">
        <is>
          <t>판촉물·굿즈 제작대행사</t>
        </is>
      </c>
      <c r="E130" s="7" t="inlineStr">
        <is>
          <t>https://gogoods.kr/</t>
        </is>
      </c>
      <c r="F130" s="5" t="inlineStr"/>
      <c r="G130" s="5" t="inlineStr"/>
      <c r="H130" s="5" t="inlineStr">
        <is>
          <t>https://gogoods.kr/manufacturing (제작·소싱 문의)</t>
        </is>
      </c>
      <c r="I130" s="5" t="inlineStr"/>
      <c r="J130" s="5" t="inlineStr">
        <is>
          <t>굿즈·패션잡화 OEM/ODM, 중국 공장 소싱, 구매대행</t>
        </is>
      </c>
      <c r="K130" s="5" t="inlineStr">
        <is>
          <t>강함(자체공장/지사)(이우 지사, 심천/동관 지사 운영 및 현지 검수·A/S 명시)</t>
        </is>
      </c>
      <c r="L130" s="5" t="inlineStr">
        <is>
          <t>중국 이우·심천·동관 지사를 직접 운영하는 소싱형 업체라 외부 중국 소싱 파트너가 필요하지 않고 오히려 경쟁사에 가깝다.</t>
        </is>
      </c>
      <c r="M130" s="7" t="inlineStr">
        <is>
          <t>https://gogoods.kr/manufacturing</t>
        </is>
      </c>
      <c r="N130" s="8" t="inlineStr"/>
      <c r="O130" s="8" t="inlineStr"/>
      <c r="P130" s="8" t="inlineStr"/>
      <c r="Q130" s="8" t="inlineStr"/>
      <c r="R130" s="8" t="inlineStr"/>
      <c r="S130" s="8" t="inlineStr"/>
      <c r="T130" s="8" t="inlineStr"/>
    </row>
    <row r="131">
      <c r="A131" s="5" t="n">
        <v>130</v>
      </c>
      <c r="B131" s="10" t="inlineStr">
        <is>
          <t>하</t>
        </is>
      </c>
      <c r="C131" s="5" t="inlineStr">
        <is>
          <t>판촉사랑</t>
        </is>
      </c>
      <c r="D131" s="5" t="inlineStr">
        <is>
          <t>판촉물·굿즈 제작대행사 · 관공서·학교·금융·프랜차이즈 판촉 납품업체</t>
        </is>
      </c>
      <c r="E131" s="7" t="inlineStr">
        <is>
          <t>https://www.87sarang.com/</t>
        </is>
      </c>
      <c r="F131" s="5" t="inlineStr">
        <is>
          <t>1688-8744</t>
        </is>
      </c>
      <c r="G131" s="5" t="inlineStr">
        <is>
          <t>gift@87sarang.com</t>
        </is>
      </c>
      <c r="H131" s="5" t="inlineStr">
        <is>
          <t>https://www.87sarang.com/co/contact2.html (질문과답변/견적문의)</t>
        </is>
      </c>
      <c r="I131" s="5" t="inlineStr">
        <is>
          <t>인천 남동구</t>
        </is>
      </c>
      <c r="J131" s="5" t="inlineStr">
        <is>
          <t>기업 판촉물, 답례품, 기념품, 홍보물(자체 인쇄시설 보유) / 기업·금융권·공공기관 판촉물, 답례품, 기념품 (전국 지역별 판촉사랑 분점망 운영)</t>
        </is>
      </c>
      <c r="K131" s="5" t="inlineStr">
        <is>
          <t>강함(자체공장/지사)(회사소개에 중국지사 보유 및 디자인연구소·자체 인쇄시설 명시)</t>
        </is>
      </c>
      <c r="L131" s="5" t="inlineStr">
        <is>
          <t>중국지사와 자체 인쇄시설을 갖춘 판촉물 전문기업이라 외부 중국 소싱 파트너 필요성이 낮다. / 서울·부산·경남·전남·제주 등 전국 지역 분점망을 갖추고 업종별(금융권 포함) 납품사례를 공개하는 규모 있는 업체로 다품종 대량 소싱 파트너 수요가 클 것으로 판단됨.</t>
        </is>
      </c>
      <c r="M131" s="7" t="inlineStr">
        <is>
          <t>https://www.87sarang.com/co/company2.html</t>
        </is>
      </c>
      <c r="N131" s="8" t="inlineStr"/>
      <c r="O131" s="8" t="inlineStr"/>
      <c r="P131" s="8" t="inlineStr"/>
      <c r="Q131" s="8" t="inlineStr"/>
      <c r="R131" s="8" t="inlineStr"/>
      <c r="S131" s="8" t="inlineStr"/>
      <c r="T131" s="8" t="inlineStr"/>
    </row>
  </sheetData>
  <autoFilter ref="A1:T131"/>
  <dataValidations count="2">
    <dataValidation sqref="Q2:Q131" showDropDown="0" showInputMessage="0" showErrorMessage="0" allowBlank="1" type="list">
      <formula1>"통화,메일발송,관심,견적요청,거절,부재,재연락"</formula1>
    </dataValidation>
    <dataValidation sqref="O2:O131" showDropDown="0" showInputMessage="0" showErrorMessage="0" allowBlank="1" type="list">
      <formula1>"전화,이메일,홈페이지문의,카톡채널,방문"</formula1>
    </dataValidation>
  </dataValidations>
  <hyperlinks>
    <hyperlink xmlns:r="http://schemas.openxmlformats.org/officeDocument/2006/relationships" ref="E2" r:id="rId1"/>
    <hyperlink xmlns:r="http://schemas.openxmlformats.org/officeDocument/2006/relationships" ref="E7" r:id="rId2"/>
    <hyperlink xmlns:r="http://schemas.openxmlformats.org/officeDocument/2006/relationships" ref="M7" r:id="rId3"/>
    <hyperlink xmlns:r="http://schemas.openxmlformats.org/officeDocument/2006/relationships" ref="E8" r:id="rId4"/>
    <hyperlink xmlns:r="http://schemas.openxmlformats.org/officeDocument/2006/relationships" ref="M8" r:id="rId5"/>
    <hyperlink xmlns:r="http://schemas.openxmlformats.org/officeDocument/2006/relationships" ref="E9" r:id="rId6"/>
    <hyperlink xmlns:r="http://schemas.openxmlformats.org/officeDocument/2006/relationships" ref="M9" r:id="rId7"/>
    <hyperlink xmlns:r="http://schemas.openxmlformats.org/officeDocument/2006/relationships" ref="E10" r:id="rId8"/>
    <hyperlink xmlns:r="http://schemas.openxmlformats.org/officeDocument/2006/relationships" ref="M10" r:id="rId9"/>
    <hyperlink xmlns:r="http://schemas.openxmlformats.org/officeDocument/2006/relationships" ref="E11" r:id="rId10"/>
    <hyperlink xmlns:r="http://schemas.openxmlformats.org/officeDocument/2006/relationships" ref="M11" r:id="rId11"/>
    <hyperlink xmlns:r="http://schemas.openxmlformats.org/officeDocument/2006/relationships" ref="E12" r:id="rId12"/>
    <hyperlink xmlns:r="http://schemas.openxmlformats.org/officeDocument/2006/relationships" ref="M12" r:id="rId13"/>
    <hyperlink xmlns:r="http://schemas.openxmlformats.org/officeDocument/2006/relationships" ref="E13" r:id="rId14"/>
    <hyperlink xmlns:r="http://schemas.openxmlformats.org/officeDocument/2006/relationships" ref="M13" r:id="rId15"/>
    <hyperlink xmlns:r="http://schemas.openxmlformats.org/officeDocument/2006/relationships" ref="E14" r:id="rId16"/>
    <hyperlink xmlns:r="http://schemas.openxmlformats.org/officeDocument/2006/relationships" ref="M14" r:id="rId17"/>
    <hyperlink xmlns:r="http://schemas.openxmlformats.org/officeDocument/2006/relationships" ref="E15" r:id="rId18"/>
    <hyperlink xmlns:r="http://schemas.openxmlformats.org/officeDocument/2006/relationships" ref="M15" r:id="rId19"/>
    <hyperlink xmlns:r="http://schemas.openxmlformats.org/officeDocument/2006/relationships" ref="E16" r:id="rId20"/>
    <hyperlink xmlns:r="http://schemas.openxmlformats.org/officeDocument/2006/relationships" ref="M16" r:id="rId21"/>
    <hyperlink xmlns:r="http://schemas.openxmlformats.org/officeDocument/2006/relationships" ref="E17" r:id="rId22"/>
    <hyperlink xmlns:r="http://schemas.openxmlformats.org/officeDocument/2006/relationships" ref="M17" r:id="rId23"/>
    <hyperlink xmlns:r="http://schemas.openxmlformats.org/officeDocument/2006/relationships" ref="E18" r:id="rId24"/>
    <hyperlink xmlns:r="http://schemas.openxmlformats.org/officeDocument/2006/relationships" ref="M18" r:id="rId25"/>
    <hyperlink xmlns:r="http://schemas.openxmlformats.org/officeDocument/2006/relationships" ref="E19" r:id="rId26"/>
    <hyperlink xmlns:r="http://schemas.openxmlformats.org/officeDocument/2006/relationships" ref="M19" r:id="rId27"/>
    <hyperlink xmlns:r="http://schemas.openxmlformats.org/officeDocument/2006/relationships" ref="E20" r:id="rId28"/>
    <hyperlink xmlns:r="http://schemas.openxmlformats.org/officeDocument/2006/relationships" ref="M20" r:id="rId29"/>
    <hyperlink xmlns:r="http://schemas.openxmlformats.org/officeDocument/2006/relationships" ref="E21" r:id="rId30"/>
    <hyperlink xmlns:r="http://schemas.openxmlformats.org/officeDocument/2006/relationships" ref="M21" r:id="rId31"/>
    <hyperlink xmlns:r="http://schemas.openxmlformats.org/officeDocument/2006/relationships" ref="E22" r:id="rId32"/>
    <hyperlink xmlns:r="http://schemas.openxmlformats.org/officeDocument/2006/relationships" ref="M22" r:id="rId33"/>
    <hyperlink xmlns:r="http://schemas.openxmlformats.org/officeDocument/2006/relationships" ref="E23" r:id="rId34"/>
    <hyperlink xmlns:r="http://schemas.openxmlformats.org/officeDocument/2006/relationships" ref="M23" r:id="rId35"/>
    <hyperlink xmlns:r="http://schemas.openxmlformats.org/officeDocument/2006/relationships" ref="E24" r:id="rId36"/>
    <hyperlink xmlns:r="http://schemas.openxmlformats.org/officeDocument/2006/relationships" ref="M24" r:id="rId37"/>
    <hyperlink xmlns:r="http://schemas.openxmlformats.org/officeDocument/2006/relationships" ref="E25" r:id="rId38"/>
    <hyperlink xmlns:r="http://schemas.openxmlformats.org/officeDocument/2006/relationships" ref="M25" r:id="rId39"/>
    <hyperlink xmlns:r="http://schemas.openxmlformats.org/officeDocument/2006/relationships" ref="E26" r:id="rId40"/>
    <hyperlink xmlns:r="http://schemas.openxmlformats.org/officeDocument/2006/relationships" ref="M26" r:id="rId41"/>
    <hyperlink xmlns:r="http://schemas.openxmlformats.org/officeDocument/2006/relationships" ref="E27" r:id="rId42"/>
    <hyperlink xmlns:r="http://schemas.openxmlformats.org/officeDocument/2006/relationships" ref="M27" r:id="rId43"/>
    <hyperlink xmlns:r="http://schemas.openxmlformats.org/officeDocument/2006/relationships" ref="E28" r:id="rId44"/>
    <hyperlink xmlns:r="http://schemas.openxmlformats.org/officeDocument/2006/relationships" ref="M28" r:id="rId45"/>
    <hyperlink xmlns:r="http://schemas.openxmlformats.org/officeDocument/2006/relationships" ref="E29" r:id="rId46"/>
    <hyperlink xmlns:r="http://schemas.openxmlformats.org/officeDocument/2006/relationships" ref="M29" r:id="rId47"/>
    <hyperlink xmlns:r="http://schemas.openxmlformats.org/officeDocument/2006/relationships" ref="E30" r:id="rId48"/>
    <hyperlink xmlns:r="http://schemas.openxmlformats.org/officeDocument/2006/relationships" ref="M30" r:id="rId49"/>
    <hyperlink xmlns:r="http://schemas.openxmlformats.org/officeDocument/2006/relationships" ref="E31" r:id="rId50"/>
    <hyperlink xmlns:r="http://schemas.openxmlformats.org/officeDocument/2006/relationships" ref="M31" r:id="rId51"/>
    <hyperlink xmlns:r="http://schemas.openxmlformats.org/officeDocument/2006/relationships" ref="E32" r:id="rId52"/>
    <hyperlink xmlns:r="http://schemas.openxmlformats.org/officeDocument/2006/relationships" ref="M32" r:id="rId53"/>
    <hyperlink xmlns:r="http://schemas.openxmlformats.org/officeDocument/2006/relationships" ref="E33" r:id="rId54"/>
    <hyperlink xmlns:r="http://schemas.openxmlformats.org/officeDocument/2006/relationships" ref="M33" r:id="rId55"/>
    <hyperlink xmlns:r="http://schemas.openxmlformats.org/officeDocument/2006/relationships" ref="E34" r:id="rId56"/>
    <hyperlink xmlns:r="http://schemas.openxmlformats.org/officeDocument/2006/relationships" ref="M34" r:id="rId57"/>
    <hyperlink xmlns:r="http://schemas.openxmlformats.org/officeDocument/2006/relationships" ref="E35" r:id="rId58"/>
    <hyperlink xmlns:r="http://schemas.openxmlformats.org/officeDocument/2006/relationships" ref="M35" r:id="rId59"/>
    <hyperlink xmlns:r="http://schemas.openxmlformats.org/officeDocument/2006/relationships" ref="E36" r:id="rId60"/>
    <hyperlink xmlns:r="http://schemas.openxmlformats.org/officeDocument/2006/relationships" ref="M36" r:id="rId61"/>
    <hyperlink xmlns:r="http://schemas.openxmlformats.org/officeDocument/2006/relationships" ref="E37" r:id="rId62"/>
    <hyperlink xmlns:r="http://schemas.openxmlformats.org/officeDocument/2006/relationships" ref="M37" r:id="rId63"/>
    <hyperlink xmlns:r="http://schemas.openxmlformats.org/officeDocument/2006/relationships" ref="E38" r:id="rId64"/>
    <hyperlink xmlns:r="http://schemas.openxmlformats.org/officeDocument/2006/relationships" ref="M38" r:id="rId65"/>
    <hyperlink xmlns:r="http://schemas.openxmlformats.org/officeDocument/2006/relationships" ref="E39" r:id="rId66"/>
    <hyperlink xmlns:r="http://schemas.openxmlformats.org/officeDocument/2006/relationships" ref="M39" r:id="rId67"/>
    <hyperlink xmlns:r="http://schemas.openxmlformats.org/officeDocument/2006/relationships" ref="E40" r:id="rId68"/>
    <hyperlink xmlns:r="http://schemas.openxmlformats.org/officeDocument/2006/relationships" ref="M40" r:id="rId69"/>
    <hyperlink xmlns:r="http://schemas.openxmlformats.org/officeDocument/2006/relationships" ref="E41" r:id="rId70"/>
    <hyperlink xmlns:r="http://schemas.openxmlformats.org/officeDocument/2006/relationships" ref="M41" r:id="rId71"/>
    <hyperlink xmlns:r="http://schemas.openxmlformats.org/officeDocument/2006/relationships" ref="E42" r:id="rId72"/>
    <hyperlink xmlns:r="http://schemas.openxmlformats.org/officeDocument/2006/relationships" ref="M42" r:id="rId73"/>
    <hyperlink xmlns:r="http://schemas.openxmlformats.org/officeDocument/2006/relationships" ref="E43" r:id="rId74"/>
    <hyperlink xmlns:r="http://schemas.openxmlformats.org/officeDocument/2006/relationships" ref="M43" r:id="rId75"/>
    <hyperlink xmlns:r="http://schemas.openxmlformats.org/officeDocument/2006/relationships" ref="E44" r:id="rId76"/>
    <hyperlink xmlns:r="http://schemas.openxmlformats.org/officeDocument/2006/relationships" ref="M44" r:id="rId77"/>
    <hyperlink xmlns:r="http://schemas.openxmlformats.org/officeDocument/2006/relationships" ref="E45" r:id="rId78"/>
    <hyperlink xmlns:r="http://schemas.openxmlformats.org/officeDocument/2006/relationships" ref="M45" r:id="rId79"/>
    <hyperlink xmlns:r="http://schemas.openxmlformats.org/officeDocument/2006/relationships" ref="E46" r:id="rId80"/>
    <hyperlink xmlns:r="http://schemas.openxmlformats.org/officeDocument/2006/relationships" ref="M46" r:id="rId81"/>
    <hyperlink xmlns:r="http://schemas.openxmlformats.org/officeDocument/2006/relationships" ref="E47" r:id="rId82"/>
    <hyperlink xmlns:r="http://schemas.openxmlformats.org/officeDocument/2006/relationships" ref="M47" r:id="rId83"/>
    <hyperlink xmlns:r="http://schemas.openxmlformats.org/officeDocument/2006/relationships" ref="E48" r:id="rId84"/>
    <hyperlink xmlns:r="http://schemas.openxmlformats.org/officeDocument/2006/relationships" ref="M48" r:id="rId85"/>
    <hyperlink xmlns:r="http://schemas.openxmlformats.org/officeDocument/2006/relationships" ref="E49" r:id="rId86"/>
    <hyperlink xmlns:r="http://schemas.openxmlformats.org/officeDocument/2006/relationships" ref="M49" r:id="rId87"/>
    <hyperlink xmlns:r="http://schemas.openxmlformats.org/officeDocument/2006/relationships" ref="E50" r:id="rId88"/>
    <hyperlink xmlns:r="http://schemas.openxmlformats.org/officeDocument/2006/relationships" ref="M50" r:id="rId89"/>
    <hyperlink xmlns:r="http://schemas.openxmlformats.org/officeDocument/2006/relationships" ref="E51" r:id="rId90"/>
    <hyperlink xmlns:r="http://schemas.openxmlformats.org/officeDocument/2006/relationships" ref="M51" r:id="rId91"/>
    <hyperlink xmlns:r="http://schemas.openxmlformats.org/officeDocument/2006/relationships" ref="E52" r:id="rId92"/>
    <hyperlink xmlns:r="http://schemas.openxmlformats.org/officeDocument/2006/relationships" ref="M52" r:id="rId93"/>
    <hyperlink xmlns:r="http://schemas.openxmlformats.org/officeDocument/2006/relationships" ref="E53" r:id="rId94"/>
    <hyperlink xmlns:r="http://schemas.openxmlformats.org/officeDocument/2006/relationships" ref="M53" r:id="rId95"/>
    <hyperlink xmlns:r="http://schemas.openxmlformats.org/officeDocument/2006/relationships" ref="E54" r:id="rId96"/>
    <hyperlink xmlns:r="http://schemas.openxmlformats.org/officeDocument/2006/relationships" ref="M54" r:id="rId97"/>
    <hyperlink xmlns:r="http://schemas.openxmlformats.org/officeDocument/2006/relationships" ref="E55" r:id="rId98"/>
    <hyperlink xmlns:r="http://schemas.openxmlformats.org/officeDocument/2006/relationships" ref="M55" r:id="rId99"/>
    <hyperlink xmlns:r="http://schemas.openxmlformats.org/officeDocument/2006/relationships" ref="E56" r:id="rId100"/>
    <hyperlink xmlns:r="http://schemas.openxmlformats.org/officeDocument/2006/relationships" ref="M56" r:id="rId101"/>
    <hyperlink xmlns:r="http://schemas.openxmlformats.org/officeDocument/2006/relationships" ref="E57" r:id="rId102"/>
    <hyperlink xmlns:r="http://schemas.openxmlformats.org/officeDocument/2006/relationships" ref="M57" r:id="rId103"/>
    <hyperlink xmlns:r="http://schemas.openxmlformats.org/officeDocument/2006/relationships" ref="E58" r:id="rId104"/>
    <hyperlink xmlns:r="http://schemas.openxmlformats.org/officeDocument/2006/relationships" ref="M58" r:id="rId105"/>
    <hyperlink xmlns:r="http://schemas.openxmlformats.org/officeDocument/2006/relationships" ref="E59" r:id="rId106"/>
    <hyperlink xmlns:r="http://schemas.openxmlformats.org/officeDocument/2006/relationships" ref="M59" r:id="rId107"/>
    <hyperlink xmlns:r="http://schemas.openxmlformats.org/officeDocument/2006/relationships" ref="E60" r:id="rId108"/>
    <hyperlink xmlns:r="http://schemas.openxmlformats.org/officeDocument/2006/relationships" ref="M60" r:id="rId109"/>
    <hyperlink xmlns:r="http://schemas.openxmlformats.org/officeDocument/2006/relationships" ref="E61" r:id="rId110"/>
    <hyperlink xmlns:r="http://schemas.openxmlformats.org/officeDocument/2006/relationships" ref="M61" r:id="rId111"/>
    <hyperlink xmlns:r="http://schemas.openxmlformats.org/officeDocument/2006/relationships" ref="E62" r:id="rId112"/>
    <hyperlink xmlns:r="http://schemas.openxmlformats.org/officeDocument/2006/relationships" ref="M62" r:id="rId113"/>
    <hyperlink xmlns:r="http://schemas.openxmlformats.org/officeDocument/2006/relationships" ref="E63" r:id="rId114"/>
    <hyperlink xmlns:r="http://schemas.openxmlformats.org/officeDocument/2006/relationships" ref="M63" r:id="rId115"/>
    <hyperlink xmlns:r="http://schemas.openxmlformats.org/officeDocument/2006/relationships" ref="E64" r:id="rId116"/>
    <hyperlink xmlns:r="http://schemas.openxmlformats.org/officeDocument/2006/relationships" ref="M64" r:id="rId117"/>
    <hyperlink xmlns:r="http://schemas.openxmlformats.org/officeDocument/2006/relationships" ref="E65" r:id="rId118"/>
    <hyperlink xmlns:r="http://schemas.openxmlformats.org/officeDocument/2006/relationships" ref="M65" r:id="rId119"/>
    <hyperlink xmlns:r="http://schemas.openxmlformats.org/officeDocument/2006/relationships" ref="E66" r:id="rId120"/>
    <hyperlink xmlns:r="http://schemas.openxmlformats.org/officeDocument/2006/relationships" ref="M66" r:id="rId121"/>
    <hyperlink xmlns:r="http://schemas.openxmlformats.org/officeDocument/2006/relationships" ref="E67" r:id="rId122"/>
    <hyperlink xmlns:r="http://schemas.openxmlformats.org/officeDocument/2006/relationships" ref="M67" r:id="rId123"/>
    <hyperlink xmlns:r="http://schemas.openxmlformats.org/officeDocument/2006/relationships" ref="E68" r:id="rId124"/>
    <hyperlink xmlns:r="http://schemas.openxmlformats.org/officeDocument/2006/relationships" ref="M68" r:id="rId125"/>
    <hyperlink xmlns:r="http://schemas.openxmlformats.org/officeDocument/2006/relationships" ref="E69" r:id="rId126"/>
    <hyperlink xmlns:r="http://schemas.openxmlformats.org/officeDocument/2006/relationships" ref="M69" r:id="rId127"/>
    <hyperlink xmlns:r="http://schemas.openxmlformats.org/officeDocument/2006/relationships" ref="E70" r:id="rId128"/>
    <hyperlink xmlns:r="http://schemas.openxmlformats.org/officeDocument/2006/relationships" ref="M70" r:id="rId129"/>
    <hyperlink xmlns:r="http://schemas.openxmlformats.org/officeDocument/2006/relationships" ref="E71" r:id="rId130"/>
    <hyperlink xmlns:r="http://schemas.openxmlformats.org/officeDocument/2006/relationships" ref="M71" r:id="rId131"/>
    <hyperlink xmlns:r="http://schemas.openxmlformats.org/officeDocument/2006/relationships" ref="E72" r:id="rId132"/>
    <hyperlink xmlns:r="http://schemas.openxmlformats.org/officeDocument/2006/relationships" ref="M72" r:id="rId133"/>
    <hyperlink xmlns:r="http://schemas.openxmlformats.org/officeDocument/2006/relationships" ref="E73" r:id="rId134"/>
    <hyperlink xmlns:r="http://schemas.openxmlformats.org/officeDocument/2006/relationships" ref="M73" r:id="rId135"/>
    <hyperlink xmlns:r="http://schemas.openxmlformats.org/officeDocument/2006/relationships" ref="E74" r:id="rId136"/>
    <hyperlink xmlns:r="http://schemas.openxmlformats.org/officeDocument/2006/relationships" ref="M74" r:id="rId137"/>
    <hyperlink xmlns:r="http://schemas.openxmlformats.org/officeDocument/2006/relationships" ref="E75" r:id="rId138"/>
    <hyperlink xmlns:r="http://schemas.openxmlformats.org/officeDocument/2006/relationships" ref="M75" r:id="rId139"/>
    <hyperlink xmlns:r="http://schemas.openxmlformats.org/officeDocument/2006/relationships" ref="E76" r:id="rId140"/>
    <hyperlink xmlns:r="http://schemas.openxmlformats.org/officeDocument/2006/relationships" ref="M76" r:id="rId141"/>
    <hyperlink xmlns:r="http://schemas.openxmlformats.org/officeDocument/2006/relationships" ref="E77" r:id="rId142"/>
    <hyperlink xmlns:r="http://schemas.openxmlformats.org/officeDocument/2006/relationships" ref="M77" r:id="rId143"/>
    <hyperlink xmlns:r="http://schemas.openxmlformats.org/officeDocument/2006/relationships" ref="E78" r:id="rId144"/>
    <hyperlink xmlns:r="http://schemas.openxmlformats.org/officeDocument/2006/relationships" ref="M78" r:id="rId145"/>
    <hyperlink xmlns:r="http://schemas.openxmlformats.org/officeDocument/2006/relationships" ref="E79" r:id="rId146"/>
    <hyperlink xmlns:r="http://schemas.openxmlformats.org/officeDocument/2006/relationships" ref="M79" r:id="rId147"/>
    <hyperlink xmlns:r="http://schemas.openxmlformats.org/officeDocument/2006/relationships" ref="E80" r:id="rId148"/>
    <hyperlink xmlns:r="http://schemas.openxmlformats.org/officeDocument/2006/relationships" ref="M80" r:id="rId149"/>
    <hyperlink xmlns:r="http://schemas.openxmlformats.org/officeDocument/2006/relationships" ref="E81" r:id="rId150"/>
    <hyperlink xmlns:r="http://schemas.openxmlformats.org/officeDocument/2006/relationships" ref="M81" r:id="rId151"/>
    <hyperlink xmlns:r="http://schemas.openxmlformats.org/officeDocument/2006/relationships" ref="E82" r:id="rId152"/>
    <hyperlink xmlns:r="http://schemas.openxmlformats.org/officeDocument/2006/relationships" ref="M82" r:id="rId153"/>
    <hyperlink xmlns:r="http://schemas.openxmlformats.org/officeDocument/2006/relationships" ref="E83" r:id="rId154"/>
    <hyperlink xmlns:r="http://schemas.openxmlformats.org/officeDocument/2006/relationships" ref="M83" r:id="rId155"/>
    <hyperlink xmlns:r="http://schemas.openxmlformats.org/officeDocument/2006/relationships" ref="E84" r:id="rId156"/>
    <hyperlink xmlns:r="http://schemas.openxmlformats.org/officeDocument/2006/relationships" ref="M84" r:id="rId157"/>
    <hyperlink xmlns:r="http://schemas.openxmlformats.org/officeDocument/2006/relationships" ref="E85" r:id="rId158"/>
    <hyperlink xmlns:r="http://schemas.openxmlformats.org/officeDocument/2006/relationships" ref="M85" r:id="rId159"/>
    <hyperlink xmlns:r="http://schemas.openxmlformats.org/officeDocument/2006/relationships" ref="E86" r:id="rId160"/>
    <hyperlink xmlns:r="http://schemas.openxmlformats.org/officeDocument/2006/relationships" ref="M86" r:id="rId161"/>
    <hyperlink xmlns:r="http://schemas.openxmlformats.org/officeDocument/2006/relationships" ref="E87" r:id="rId162"/>
    <hyperlink xmlns:r="http://schemas.openxmlformats.org/officeDocument/2006/relationships" ref="M87" r:id="rId163"/>
    <hyperlink xmlns:r="http://schemas.openxmlformats.org/officeDocument/2006/relationships" ref="E88" r:id="rId164"/>
    <hyperlink xmlns:r="http://schemas.openxmlformats.org/officeDocument/2006/relationships" ref="M88" r:id="rId165"/>
    <hyperlink xmlns:r="http://schemas.openxmlformats.org/officeDocument/2006/relationships" ref="E89" r:id="rId166"/>
    <hyperlink xmlns:r="http://schemas.openxmlformats.org/officeDocument/2006/relationships" ref="M89" r:id="rId167"/>
    <hyperlink xmlns:r="http://schemas.openxmlformats.org/officeDocument/2006/relationships" ref="E90" r:id="rId168"/>
    <hyperlink xmlns:r="http://schemas.openxmlformats.org/officeDocument/2006/relationships" ref="M90" r:id="rId169"/>
    <hyperlink xmlns:r="http://schemas.openxmlformats.org/officeDocument/2006/relationships" ref="E91" r:id="rId170"/>
    <hyperlink xmlns:r="http://schemas.openxmlformats.org/officeDocument/2006/relationships" ref="M91" r:id="rId171"/>
    <hyperlink xmlns:r="http://schemas.openxmlformats.org/officeDocument/2006/relationships" ref="E92" r:id="rId172"/>
    <hyperlink xmlns:r="http://schemas.openxmlformats.org/officeDocument/2006/relationships" ref="M92" r:id="rId173"/>
    <hyperlink xmlns:r="http://schemas.openxmlformats.org/officeDocument/2006/relationships" ref="E93" r:id="rId174"/>
    <hyperlink xmlns:r="http://schemas.openxmlformats.org/officeDocument/2006/relationships" ref="M93" r:id="rId175"/>
    <hyperlink xmlns:r="http://schemas.openxmlformats.org/officeDocument/2006/relationships" ref="E94" r:id="rId176"/>
    <hyperlink xmlns:r="http://schemas.openxmlformats.org/officeDocument/2006/relationships" ref="M94" r:id="rId177"/>
    <hyperlink xmlns:r="http://schemas.openxmlformats.org/officeDocument/2006/relationships" ref="E95" r:id="rId178"/>
    <hyperlink xmlns:r="http://schemas.openxmlformats.org/officeDocument/2006/relationships" ref="M95" r:id="rId179"/>
    <hyperlink xmlns:r="http://schemas.openxmlformats.org/officeDocument/2006/relationships" ref="E96" r:id="rId180"/>
    <hyperlink xmlns:r="http://schemas.openxmlformats.org/officeDocument/2006/relationships" ref="M96" r:id="rId181"/>
    <hyperlink xmlns:r="http://schemas.openxmlformats.org/officeDocument/2006/relationships" ref="E97" r:id="rId182"/>
    <hyperlink xmlns:r="http://schemas.openxmlformats.org/officeDocument/2006/relationships" ref="M97" r:id="rId183"/>
    <hyperlink xmlns:r="http://schemas.openxmlformats.org/officeDocument/2006/relationships" ref="E98" r:id="rId184"/>
    <hyperlink xmlns:r="http://schemas.openxmlformats.org/officeDocument/2006/relationships" ref="M98" r:id="rId185"/>
    <hyperlink xmlns:r="http://schemas.openxmlformats.org/officeDocument/2006/relationships" ref="E99" r:id="rId186"/>
    <hyperlink xmlns:r="http://schemas.openxmlformats.org/officeDocument/2006/relationships" ref="M99" r:id="rId187"/>
    <hyperlink xmlns:r="http://schemas.openxmlformats.org/officeDocument/2006/relationships" ref="E100" r:id="rId188"/>
    <hyperlink xmlns:r="http://schemas.openxmlformats.org/officeDocument/2006/relationships" ref="M100" r:id="rId189"/>
    <hyperlink xmlns:r="http://schemas.openxmlformats.org/officeDocument/2006/relationships" ref="E101" r:id="rId190"/>
    <hyperlink xmlns:r="http://schemas.openxmlformats.org/officeDocument/2006/relationships" ref="M101" r:id="rId191"/>
    <hyperlink xmlns:r="http://schemas.openxmlformats.org/officeDocument/2006/relationships" ref="E102" r:id="rId192"/>
    <hyperlink xmlns:r="http://schemas.openxmlformats.org/officeDocument/2006/relationships" ref="M102" r:id="rId193"/>
    <hyperlink xmlns:r="http://schemas.openxmlformats.org/officeDocument/2006/relationships" ref="E103" r:id="rId194"/>
    <hyperlink xmlns:r="http://schemas.openxmlformats.org/officeDocument/2006/relationships" ref="M103" r:id="rId195"/>
    <hyperlink xmlns:r="http://schemas.openxmlformats.org/officeDocument/2006/relationships" ref="E104" r:id="rId196"/>
    <hyperlink xmlns:r="http://schemas.openxmlformats.org/officeDocument/2006/relationships" ref="M104" r:id="rId197"/>
    <hyperlink xmlns:r="http://schemas.openxmlformats.org/officeDocument/2006/relationships" ref="E105" r:id="rId198"/>
    <hyperlink xmlns:r="http://schemas.openxmlformats.org/officeDocument/2006/relationships" ref="M105" r:id="rId199"/>
    <hyperlink xmlns:r="http://schemas.openxmlformats.org/officeDocument/2006/relationships" ref="E106" r:id="rId200"/>
    <hyperlink xmlns:r="http://schemas.openxmlformats.org/officeDocument/2006/relationships" ref="M106" r:id="rId201"/>
    <hyperlink xmlns:r="http://schemas.openxmlformats.org/officeDocument/2006/relationships" ref="E107" r:id="rId202"/>
    <hyperlink xmlns:r="http://schemas.openxmlformats.org/officeDocument/2006/relationships" ref="M107" r:id="rId203"/>
    <hyperlink xmlns:r="http://schemas.openxmlformats.org/officeDocument/2006/relationships" ref="E108" r:id="rId204"/>
    <hyperlink xmlns:r="http://schemas.openxmlformats.org/officeDocument/2006/relationships" ref="M108" r:id="rId205"/>
    <hyperlink xmlns:r="http://schemas.openxmlformats.org/officeDocument/2006/relationships" ref="E109" r:id="rId206"/>
    <hyperlink xmlns:r="http://schemas.openxmlformats.org/officeDocument/2006/relationships" ref="M109" r:id="rId207"/>
    <hyperlink xmlns:r="http://schemas.openxmlformats.org/officeDocument/2006/relationships" ref="E110" r:id="rId208"/>
    <hyperlink xmlns:r="http://schemas.openxmlformats.org/officeDocument/2006/relationships" ref="M110" r:id="rId209"/>
    <hyperlink xmlns:r="http://schemas.openxmlformats.org/officeDocument/2006/relationships" ref="E111" r:id="rId210"/>
    <hyperlink xmlns:r="http://schemas.openxmlformats.org/officeDocument/2006/relationships" ref="M111" r:id="rId211"/>
    <hyperlink xmlns:r="http://schemas.openxmlformats.org/officeDocument/2006/relationships" ref="E112" r:id="rId212"/>
    <hyperlink xmlns:r="http://schemas.openxmlformats.org/officeDocument/2006/relationships" ref="M112" r:id="rId213"/>
    <hyperlink xmlns:r="http://schemas.openxmlformats.org/officeDocument/2006/relationships" ref="E113" r:id="rId214"/>
    <hyperlink xmlns:r="http://schemas.openxmlformats.org/officeDocument/2006/relationships" ref="M113" r:id="rId215"/>
    <hyperlink xmlns:r="http://schemas.openxmlformats.org/officeDocument/2006/relationships" ref="E114" r:id="rId216"/>
    <hyperlink xmlns:r="http://schemas.openxmlformats.org/officeDocument/2006/relationships" ref="M114" r:id="rId217"/>
    <hyperlink xmlns:r="http://schemas.openxmlformats.org/officeDocument/2006/relationships" ref="E115" r:id="rId218"/>
    <hyperlink xmlns:r="http://schemas.openxmlformats.org/officeDocument/2006/relationships" ref="M115" r:id="rId219"/>
    <hyperlink xmlns:r="http://schemas.openxmlformats.org/officeDocument/2006/relationships" ref="E116" r:id="rId220"/>
    <hyperlink xmlns:r="http://schemas.openxmlformats.org/officeDocument/2006/relationships" ref="M116" r:id="rId221"/>
    <hyperlink xmlns:r="http://schemas.openxmlformats.org/officeDocument/2006/relationships" ref="E117" r:id="rId222"/>
    <hyperlink xmlns:r="http://schemas.openxmlformats.org/officeDocument/2006/relationships" ref="M117" r:id="rId223"/>
    <hyperlink xmlns:r="http://schemas.openxmlformats.org/officeDocument/2006/relationships" ref="E118" r:id="rId224"/>
    <hyperlink xmlns:r="http://schemas.openxmlformats.org/officeDocument/2006/relationships" ref="M118" r:id="rId225"/>
    <hyperlink xmlns:r="http://schemas.openxmlformats.org/officeDocument/2006/relationships" ref="E119" r:id="rId226"/>
    <hyperlink xmlns:r="http://schemas.openxmlformats.org/officeDocument/2006/relationships" ref="M119" r:id="rId227"/>
    <hyperlink xmlns:r="http://schemas.openxmlformats.org/officeDocument/2006/relationships" ref="E120" r:id="rId228"/>
    <hyperlink xmlns:r="http://schemas.openxmlformats.org/officeDocument/2006/relationships" ref="M120" r:id="rId229"/>
    <hyperlink xmlns:r="http://schemas.openxmlformats.org/officeDocument/2006/relationships" ref="M121" r:id="rId230"/>
    <hyperlink xmlns:r="http://schemas.openxmlformats.org/officeDocument/2006/relationships" ref="E122" r:id="rId231"/>
    <hyperlink xmlns:r="http://schemas.openxmlformats.org/officeDocument/2006/relationships" ref="M122" r:id="rId232"/>
    <hyperlink xmlns:r="http://schemas.openxmlformats.org/officeDocument/2006/relationships" ref="E123" r:id="rId233"/>
    <hyperlink xmlns:r="http://schemas.openxmlformats.org/officeDocument/2006/relationships" ref="M123" r:id="rId234"/>
    <hyperlink xmlns:r="http://schemas.openxmlformats.org/officeDocument/2006/relationships" ref="E124" r:id="rId235"/>
    <hyperlink xmlns:r="http://schemas.openxmlformats.org/officeDocument/2006/relationships" ref="M124" r:id="rId236"/>
    <hyperlink xmlns:r="http://schemas.openxmlformats.org/officeDocument/2006/relationships" ref="E125" r:id="rId237"/>
    <hyperlink xmlns:r="http://schemas.openxmlformats.org/officeDocument/2006/relationships" ref="M125" r:id="rId238"/>
    <hyperlink xmlns:r="http://schemas.openxmlformats.org/officeDocument/2006/relationships" ref="E126" r:id="rId239"/>
    <hyperlink xmlns:r="http://schemas.openxmlformats.org/officeDocument/2006/relationships" ref="M126" r:id="rId240"/>
    <hyperlink xmlns:r="http://schemas.openxmlformats.org/officeDocument/2006/relationships" ref="E127" r:id="rId241"/>
    <hyperlink xmlns:r="http://schemas.openxmlformats.org/officeDocument/2006/relationships" ref="M127" r:id="rId242"/>
    <hyperlink xmlns:r="http://schemas.openxmlformats.org/officeDocument/2006/relationships" ref="E128" r:id="rId243"/>
    <hyperlink xmlns:r="http://schemas.openxmlformats.org/officeDocument/2006/relationships" ref="M128" r:id="rId244"/>
    <hyperlink xmlns:r="http://schemas.openxmlformats.org/officeDocument/2006/relationships" ref="E129" r:id="rId245"/>
    <hyperlink xmlns:r="http://schemas.openxmlformats.org/officeDocument/2006/relationships" ref="M129" r:id="rId246"/>
    <hyperlink xmlns:r="http://schemas.openxmlformats.org/officeDocument/2006/relationships" ref="E130" r:id="rId247"/>
    <hyperlink xmlns:r="http://schemas.openxmlformats.org/officeDocument/2006/relationships" ref="M130" r:id="rId248"/>
    <hyperlink xmlns:r="http://schemas.openxmlformats.org/officeDocument/2006/relationships" ref="E131" r:id="rId249"/>
    <hyperlink xmlns:r="http://schemas.openxmlformats.org/officeDocument/2006/relationships" ref="M131" r:id="rId250"/>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s>
  <sheetData>
    <row r="1">
      <c r="A1" s="11" t="inlineStr">
        <is>
          <t>카테고리별 업체 수</t>
        </is>
      </c>
    </row>
    <row r="2">
      <c r="A2" s="12" t="inlineStr">
        <is>
          <t>카테고리</t>
        </is>
      </c>
      <c r="B2" s="12" t="inlineStr">
        <is>
          <t>전체</t>
        </is>
      </c>
      <c r="C2" s="12" t="inlineStr">
        <is>
          <t>상</t>
        </is>
      </c>
      <c r="D2" s="12" t="inlineStr">
        <is>
          <t>중</t>
        </is>
      </c>
      <c r="E2" s="12" t="inlineStr">
        <is>
          <t>하</t>
        </is>
      </c>
      <c r="F2" s="12" t="inlineStr">
        <is>
          <t>연락완료</t>
        </is>
      </c>
      <c r="G2" s="12" t="inlineStr">
        <is>
          <t>관심/견적요청</t>
        </is>
      </c>
    </row>
    <row r="3">
      <c r="A3" s="13" t="inlineStr">
        <is>
          <t>OEM 온라인브랜드·패키징</t>
        </is>
      </c>
      <c r="B3" s="13">
        <f>COUNTIF(영업리스트!$D$2:$D$430,A3)</f>
        <v/>
      </c>
      <c r="C3" s="13">
        <f>COUNTIFS(영업리스트!$D$2:$D$430,A3,영업리스트!$B$2:$B$430,"상")</f>
        <v/>
      </c>
      <c r="D3" s="13">
        <f>COUNTIFS(영업리스트!$D$2:$D$430,A3,영업리스트!$B$2:$B$430,"중")</f>
        <v/>
      </c>
      <c r="E3" s="13">
        <f>COUNTIFS(영업리스트!$D$2:$D$430,A3,영업리스트!$B$2:$B$430,"하")</f>
        <v/>
      </c>
      <c r="F3" s="13">
        <f>COUNTIFS(영업리스트!$D$2:$D$430,A3,영업리스트!$Q$2:$Q$430,"&lt;&gt;")</f>
        <v/>
      </c>
      <c r="G3" s="13">
        <f>COUNTIFS(영업리스트!$D$2:$D$430,A3,영업리스트!$Q$2:$Q$430,"관심")+COUNTIFS(영업리스트!$D$2:$D$430,A3,영업리스트!$Q$2:$Q$430,"견적요청")</f>
        <v/>
      </c>
    </row>
    <row r="4">
      <c r="A4" s="13" t="inlineStr">
        <is>
          <t>관공서·학교·금융·프랜차이즈 판촉 납품업체</t>
        </is>
      </c>
      <c r="B4" s="13">
        <f>COUNTIF(영업리스트!$D$2:$D$430,A4)</f>
        <v/>
      </c>
      <c r="C4" s="13">
        <f>COUNTIFS(영업리스트!$D$2:$D$430,A4,영업리스트!$B$2:$B$430,"상")</f>
        <v/>
      </c>
      <c r="D4" s="13">
        <f>COUNTIFS(영업리스트!$D$2:$D$430,A4,영업리스트!$B$2:$B$430,"중")</f>
        <v/>
      </c>
      <c r="E4" s="13">
        <f>COUNTIFS(영업리스트!$D$2:$D$430,A4,영업리스트!$B$2:$B$430,"하")</f>
        <v/>
      </c>
      <c r="F4" s="13">
        <f>COUNTIFS(영업리스트!$D$2:$D$430,A4,영업리스트!$Q$2:$Q$430,"&lt;&gt;")</f>
        <v/>
      </c>
      <c r="G4" s="13">
        <f>COUNTIFS(영업리스트!$D$2:$D$430,A4,영업리스트!$Q$2:$Q$430,"관심")+COUNTIFS(영업리스트!$D$2:$D$430,A4,영업리스트!$Q$2:$Q$430,"견적요청")</f>
        <v/>
      </c>
    </row>
    <row r="5">
      <c r="A5" s="13" t="inlineStr">
        <is>
          <t>광고·BTL·행사대행사</t>
        </is>
      </c>
      <c r="B5" s="13">
        <f>COUNTIF(영업리스트!$D$2:$D$430,A5)</f>
        <v/>
      </c>
      <c r="C5" s="13">
        <f>COUNTIFS(영업리스트!$D$2:$D$430,A5,영업리스트!$B$2:$B$430,"상")</f>
        <v/>
      </c>
      <c r="D5" s="13">
        <f>COUNTIFS(영업리스트!$D$2:$D$430,A5,영업리스트!$B$2:$B$430,"중")</f>
        <v/>
      </c>
      <c r="E5" s="13">
        <f>COUNTIFS(영업리스트!$D$2:$D$430,A5,영업리스트!$B$2:$B$430,"하")</f>
        <v/>
      </c>
      <c r="F5" s="13">
        <f>COUNTIFS(영업리스트!$D$2:$D$430,A5,영업리스트!$Q$2:$Q$430,"&lt;&gt;")</f>
        <v/>
      </c>
      <c r="G5" s="13">
        <f>COUNTIFS(영업리스트!$D$2:$D$430,A5,영업리스트!$Q$2:$Q$430,"관심")+COUNTIFS(영업리스트!$D$2:$D$430,A5,영업리스트!$Q$2:$Q$430,"견적요청")</f>
        <v/>
      </c>
    </row>
    <row r="6">
      <c r="A6" s="13" t="inlineStr">
        <is>
          <t>무역·소싱대행·수입도매</t>
        </is>
      </c>
      <c r="B6" s="13">
        <f>COUNTIF(영업리스트!$D$2:$D$430,A6)</f>
        <v/>
      </c>
      <c r="C6" s="13">
        <f>COUNTIFS(영업리스트!$D$2:$D$430,A6,영업리스트!$B$2:$B$430,"상")</f>
        <v/>
      </c>
      <c r="D6" s="13">
        <f>COUNTIFS(영업리스트!$D$2:$D$430,A6,영업리스트!$B$2:$B$430,"중")</f>
        <v/>
      </c>
      <c r="E6" s="13">
        <f>COUNTIFS(영업리스트!$D$2:$D$430,A6,영업리스트!$B$2:$B$430,"하")</f>
        <v/>
      </c>
      <c r="F6" s="13">
        <f>COUNTIFS(영업리스트!$D$2:$D$430,A6,영업리스트!$Q$2:$Q$430,"&lt;&gt;")</f>
        <v/>
      </c>
      <c r="G6" s="13">
        <f>COUNTIFS(영업리스트!$D$2:$D$430,A6,영업리스트!$Q$2:$Q$430,"관심")+COUNTIFS(영업리스트!$D$2:$D$430,A6,영업리스트!$Q$2:$Q$430,"견적요청")</f>
        <v/>
      </c>
    </row>
    <row r="7">
      <c r="A7" s="13" t="inlineStr">
        <is>
          <t>소규모 판촉물·패키징 중개벤더</t>
        </is>
      </c>
      <c r="B7" s="13">
        <f>COUNTIF(영업리스트!$D$2:$D$430,A7)</f>
        <v/>
      </c>
      <c r="C7" s="13">
        <f>COUNTIFS(영업리스트!$D$2:$D$430,A7,영업리스트!$B$2:$B$430,"상")</f>
        <v/>
      </c>
      <c r="D7" s="13">
        <f>COUNTIFS(영업리스트!$D$2:$D$430,A7,영업리스트!$B$2:$B$430,"중")</f>
        <v/>
      </c>
      <c r="E7" s="13">
        <f>COUNTIFS(영업리스트!$D$2:$D$430,A7,영업리스트!$B$2:$B$430,"하")</f>
        <v/>
      </c>
      <c r="F7" s="13">
        <f>COUNTIFS(영업리스트!$D$2:$D$430,A7,영업리스트!$Q$2:$Q$430,"&lt;&gt;")</f>
        <v/>
      </c>
      <c r="G7" s="13">
        <f>COUNTIFS(영업리스트!$D$2:$D$430,A7,영업리스트!$Q$2:$Q$430,"관심")+COUNTIFS(영업리스트!$D$2:$D$430,A7,영업리스트!$Q$2:$Q$430,"견적요청")</f>
        <v/>
      </c>
    </row>
    <row r="8">
      <c r="A8" s="13" t="inlineStr">
        <is>
          <t>스포츠·헬스·재활용품 유통사/OEM브랜드</t>
        </is>
      </c>
      <c r="B8" s="13">
        <f>COUNTIF(영업리스트!$D$2:$D$430,A8)</f>
        <v/>
      </c>
      <c r="C8" s="13">
        <f>COUNTIFS(영업리스트!$D$2:$D$430,A8,영업리스트!$B$2:$B$430,"상")</f>
        <v/>
      </c>
      <c r="D8" s="13">
        <f>COUNTIFS(영업리스트!$D$2:$D$430,A8,영업리스트!$B$2:$B$430,"중")</f>
        <v/>
      </c>
      <c r="E8" s="13">
        <f>COUNTIFS(영업리스트!$D$2:$D$430,A8,영업리스트!$B$2:$B$430,"하")</f>
        <v/>
      </c>
      <c r="F8" s="13">
        <f>COUNTIFS(영업리스트!$D$2:$D$430,A8,영업리스트!$Q$2:$Q$430,"&lt;&gt;")</f>
        <v/>
      </c>
      <c r="G8" s="13">
        <f>COUNTIFS(영업리스트!$D$2:$D$430,A8,영업리스트!$Q$2:$Q$430,"관심")+COUNTIFS(영업리스트!$D$2:$D$430,A8,영업리스트!$Q$2:$Q$430,"견적요청")</f>
        <v/>
      </c>
    </row>
    <row r="9">
      <c r="A9" s="13" t="inlineStr">
        <is>
          <t>제약·의료·치과 판촉물 벤더</t>
        </is>
      </c>
      <c r="B9" s="13">
        <f>COUNTIF(영업리스트!$D$2:$D$430,A9)</f>
        <v/>
      </c>
      <c r="C9" s="13">
        <f>COUNTIFS(영업리스트!$D$2:$D$430,A9,영업리스트!$B$2:$B$430,"상")</f>
        <v/>
      </c>
      <c r="D9" s="13">
        <f>COUNTIFS(영업리스트!$D$2:$D$430,A9,영업리스트!$B$2:$B$430,"중")</f>
        <v/>
      </c>
      <c r="E9" s="13">
        <f>COUNTIFS(영업리스트!$D$2:$D$430,A9,영업리스트!$B$2:$B$430,"하")</f>
        <v/>
      </c>
      <c r="F9" s="13">
        <f>COUNTIFS(영업리스트!$D$2:$D$430,A9,영업리스트!$Q$2:$Q$430,"&lt;&gt;")</f>
        <v/>
      </c>
      <c r="G9" s="13">
        <f>COUNTIFS(영업리스트!$D$2:$D$430,A9,영업리스트!$Q$2:$Q$430,"관심")+COUNTIFS(영업리스트!$D$2:$D$430,A9,영업리스트!$Q$2:$Q$430,"견적요청")</f>
        <v/>
      </c>
    </row>
    <row r="10">
      <c r="A10" s="13" t="inlineStr">
        <is>
          <t>캐릭터·IP·팬굿즈 기획사</t>
        </is>
      </c>
      <c r="B10" s="13">
        <f>COUNTIF(영업리스트!$D$2:$D$430,A10)</f>
        <v/>
      </c>
      <c r="C10" s="13">
        <f>COUNTIFS(영업리스트!$D$2:$D$430,A10,영업리스트!$B$2:$B$430,"상")</f>
        <v/>
      </c>
      <c r="D10" s="13">
        <f>COUNTIFS(영업리스트!$D$2:$D$430,A10,영업리스트!$B$2:$B$430,"중")</f>
        <v/>
      </c>
      <c r="E10" s="13">
        <f>COUNTIFS(영업리스트!$D$2:$D$430,A10,영업리스트!$B$2:$B$430,"하")</f>
        <v/>
      </c>
      <c r="F10" s="13">
        <f>COUNTIFS(영업리스트!$D$2:$D$430,A10,영업리스트!$Q$2:$Q$430,"&lt;&gt;")</f>
        <v/>
      </c>
      <c r="G10" s="13">
        <f>COUNTIFS(영업리스트!$D$2:$D$430,A10,영업리스트!$Q$2:$Q$430,"관심")+COUNTIFS(영업리스트!$D$2:$D$430,A10,영업리스트!$Q$2:$Q$430,"견적요청")</f>
        <v/>
      </c>
    </row>
    <row r="11">
      <c r="A11" s="13" t="inlineStr">
        <is>
          <t>캐릭터·IP·팬굿즈 기획사 · 소규모 판촉물·패키징 중개벤더</t>
        </is>
      </c>
      <c r="B11" s="13">
        <f>COUNTIF(영업리스트!$D$2:$D$430,A11)</f>
        <v/>
      </c>
      <c r="C11" s="13">
        <f>COUNTIFS(영업리스트!$D$2:$D$430,A11,영업리스트!$B$2:$B$430,"상")</f>
        <v/>
      </c>
      <c r="D11" s="13">
        <f>COUNTIFS(영업리스트!$D$2:$D$430,A11,영업리스트!$B$2:$B$430,"중")</f>
        <v/>
      </c>
      <c r="E11" s="13">
        <f>COUNTIFS(영업리스트!$D$2:$D$430,A11,영업리스트!$B$2:$B$430,"하")</f>
        <v/>
      </c>
      <c r="F11" s="13">
        <f>COUNTIFS(영업리스트!$D$2:$D$430,A11,영업리스트!$Q$2:$Q$430,"&lt;&gt;")</f>
        <v/>
      </c>
      <c r="G11" s="13">
        <f>COUNTIFS(영업리스트!$D$2:$D$430,A11,영업리스트!$Q$2:$Q$430,"관심")+COUNTIFS(영업리스트!$D$2:$D$430,A11,영업리스트!$Q$2:$Q$430,"견적요청")</f>
        <v/>
      </c>
    </row>
    <row r="12">
      <c r="A12" s="13" t="inlineStr">
        <is>
          <t>캐릭터·IP·팬굿즈 기획사 · 판촉물·굿즈 제작대행사</t>
        </is>
      </c>
      <c r="B12" s="13">
        <f>COUNTIF(영업리스트!$D$2:$D$430,A12)</f>
        <v/>
      </c>
      <c r="C12" s="13">
        <f>COUNTIFS(영업리스트!$D$2:$D$430,A12,영업리스트!$B$2:$B$430,"상")</f>
        <v/>
      </c>
      <c r="D12" s="13">
        <f>COUNTIFS(영업리스트!$D$2:$D$430,A12,영업리스트!$B$2:$B$430,"중")</f>
        <v/>
      </c>
      <c r="E12" s="13">
        <f>COUNTIFS(영업리스트!$D$2:$D$430,A12,영업리스트!$B$2:$B$430,"하")</f>
        <v/>
      </c>
      <c r="F12" s="13">
        <f>COUNTIFS(영업리스트!$D$2:$D$430,A12,영업리스트!$Q$2:$Q$430,"&lt;&gt;")</f>
        <v/>
      </c>
      <c r="G12" s="13">
        <f>COUNTIFS(영업리스트!$D$2:$D$430,A12,영업리스트!$Q$2:$Q$430,"관심")+COUNTIFS(영업리스트!$D$2:$D$430,A12,영업리스트!$Q$2:$Q$430,"견적요청")</f>
        <v/>
      </c>
    </row>
    <row r="13">
      <c r="A13" s="13" t="inlineStr">
        <is>
          <t>판촉물·굿즈 제작대행사</t>
        </is>
      </c>
      <c r="B13" s="13">
        <f>COUNTIF(영업리스트!$D$2:$D$430,A13)</f>
        <v/>
      </c>
      <c r="C13" s="13">
        <f>COUNTIFS(영업리스트!$D$2:$D$430,A13,영업리스트!$B$2:$B$430,"상")</f>
        <v/>
      </c>
      <c r="D13" s="13">
        <f>COUNTIFS(영업리스트!$D$2:$D$430,A13,영업리스트!$B$2:$B$430,"중")</f>
        <v/>
      </c>
      <c r="E13" s="13">
        <f>COUNTIFS(영업리스트!$D$2:$D$430,A13,영업리스트!$B$2:$B$430,"하")</f>
        <v/>
      </c>
      <c r="F13" s="13">
        <f>COUNTIFS(영업리스트!$D$2:$D$430,A13,영업리스트!$Q$2:$Q$430,"&lt;&gt;")</f>
        <v/>
      </c>
      <c r="G13" s="13">
        <f>COUNTIFS(영업리스트!$D$2:$D$430,A13,영업리스트!$Q$2:$Q$430,"관심")+COUNTIFS(영업리스트!$D$2:$D$430,A13,영업리스트!$Q$2:$Q$430,"견적요청")</f>
        <v/>
      </c>
    </row>
    <row r="14">
      <c r="A14" s="13" t="inlineStr">
        <is>
          <t>판촉물·굿즈 제작대행사 · 관공서·학교·금융·프랜차이즈 판촉 납품업체</t>
        </is>
      </c>
      <c r="B14" s="13">
        <f>COUNTIF(영업리스트!$D$2:$D$430,A14)</f>
        <v/>
      </c>
      <c r="C14" s="13">
        <f>COUNTIFS(영업리스트!$D$2:$D$430,A14,영업리스트!$B$2:$B$430,"상")</f>
        <v/>
      </c>
      <c r="D14" s="13">
        <f>COUNTIFS(영업리스트!$D$2:$D$430,A14,영업리스트!$B$2:$B$430,"중")</f>
        <v/>
      </c>
      <c r="E14" s="13">
        <f>COUNTIFS(영업리스트!$D$2:$D$430,A14,영업리스트!$B$2:$B$430,"하")</f>
        <v/>
      </c>
      <c r="F14" s="13">
        <f>COUNTIFS(영업리스트!$D$2:$D$430,A14,영업리스트!$Q$2:$Q$430,"&lt;&gt;")</f>
        <v/>
      </c>
      <c r="G14" s="13">
        <f>COUNTIFS(영업리스트!$D$2:$D$430,A14,영업리스트!$Q$2:$Q$430,"관심")+COUNTIFS(영업리스트!$D$2:$D$430,A14,영업리스트!$Q$2:$Q$430,"견적요청")</f>
        <v/>
      </c>
    </row>
    <row r="15">
      <c r="A15" s="13" t="inlineStr">
        <is>
          <t>회수 대상(前 파트너 거래처)</t>
        </is>
      </c>
      <c r="B15" s="13">
        <f>COUNTIF(영업리스트!$D$2:$D$430,A15)</f>
        <v/>
      </c>
      <c r="C15" s="13">
        <f>COUNTIFS(영업리스트!$D$2:$D$430,A15,영업리스트!$B$2:$B$430,"상")</f>
        <v/>
      </c>
      <c r="D15" s="13">
        <f>COUNTIFS(영업리스트!$D$2:$D$430,A15,영업리스트!$B$2:$B$430,"중")</f>
        <v/>
      </c>
      <c r="E15" s="13">
        <f>COUNTIFS(영업리스트!$D$2:$D$430,A15,영업리스트!$B$2:$B$430,"하")</f>
        <v/>
      </c>
      <c r="F15" s="13">
        <f>COUNTIFS(영업리스트!$D$2:$D$430,A15,영업리스트!$Q$2:$Q$430,"&lt;&gt;")</f>
        <v/>
      </c>
      <c r="G15" s="13">
        <f>COUNTIFS(영업리스트!$D$2:$D$430,A15,영업리스트!$Q$2:$Q$430,"관심")+COUNTIFS(영업리스트!$D$2:$D$430,A15,영업리스트!$Q$2:$Q$430,"견적요청")</f>
        <v/>
      </c>
    </row>
    <row r="16">
      <c r="A16" s="14" t="inlineStr">
        <is>
          <t>합계</t>
        </is>
      </c>
      <c r="B16" s="14">
        <f>SUM(B3:B15)</f>
        <v/>
      </c>
      <c r="C16" s="14">
        <f>SUM(C3:C15)</f>
        <v/>
      </c>
      <c r="D16" s="14">
        <f>SUM(D3:D15)</f>
        <v/>
      </c>
      <c r="E16" s="14">
        <f>SUM(E3:E15)</f>
        <v/>
      </c>
      <c r="F16" s="14">
        <f>SUM(F3:F15)</f>
        <v/>
      </c>
      <c r="G16" s="14">
        <f>SUM(G3:G15)</f>
        <v/>
      </c>
    </row>
    <row r="18">
      <c r="A18" s="11" t="inlineStr">
        <is>
          <t>연락결과 현황</t>
        </is>
      </c>
    </row>
    <row r="19">
      <c r="A19" s="15" t="inlineStr">
        <is>
          <t>결과</t>
        </is>
      </c>
      <c r="B19" s="15" t="inlineStr">
        <is>
          <t>건수</t>
        </is>
      </c>
    </row>
    <row r="20">
      <c r="A20" s="2" t="inlineStr">
        <is>
          <t>통화</t>
        </is>
      </c>
      <c r="B20" s="2">
        <f>COUNTIF(영업리스트!$Q$2:$Q$430,A20)</f>
        <v/>
      </c>
    </row>
    <row r="21">
      <c r="A21" s="2" t="inlineStr">
        <is>
          <t>메일발송</t>
        </is>
      </c>
      <c r="B21" s="2">
        <f>COUNTIF(영업리스트!$Q$2:$Q$430,A21)</f>
        <v/>
      </c>
    </row>
    <row r="22">
      <c r="A22" s="2" t="inlineStr">
        <is>
          <t>관심</t>
        </is>
      </c>
      <c r="B22" s="2">
        <f>COUNTIF(영업리스트!$Q$2:$Q$430,A22)</f>
        <v/>
      </c>
    </row>
    <row r="23">
      <c r="A23" s="2" t="inlineStr">
        <is>
          <t>견적요청</t>
        </is>
      </c>
      <c r="B23" s="2">
        <f>COUNTIF(영업리스트!$Q$2:$Q$430,A23)</f>
        <v/>
      </c>
    </row>
    <row r="24">
      <c r="A24" s="2" t="inlineStr">
        <is>
          <t>거절</t>
        </is>
      </c>
      <c r="B24" s="2">
        <f>COUNTIF(영업리스트!$Q$2:$Q$430,A24)</f>
        <v/>
      </c>
    </row>
    <row r="25">
      <c r="A25" s="2" t="inlineStr">
        <is>
          <t>부재</t>
        </is>
      </c>
      <c r="B25" s="2">
        <f>COUNTIF(영업리스트!$Q$2:$Q$430,A25)</f>
        <v/>
      </c>
    </row>
    <row r="26">
      <c r="A26" s="2" t="inlineStr">
        <is>
          <t>재연락</t>
        </is>
      </c>
      <c r="B26" s="2">
        <f>COUNTIF(영업리스트!$Q$2:$Q$430,A26)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4" customWidth="1" min="1" max="1"/>
    <col width="110" customWidth="1" min="2" max="2"/>
  </cols>
  <sheetData>
    <row r="1">
      <c r="A1" s="16" t="inlineStr">
        <is>
          <t>포지션 한 줄</t>
        </is>
      </c>
      <c r="B1" s="17" t="inlineStr">
        <is>
          <t>품목에 상관없이, 한국에서 필요한 제품과 사양만 주시면 중국 현지 제조공장 발굴 → 샘플 → 가격협상 → 생산 → 검수 → 통관·국내 납품까지 한 번에 연결하는 회사. (보호대는 '우리가 실제로 중국에서 만들어 팔고 있다'는 증거로만 언급)</t>
        </is>
      </c>
    </row>
    <row r="2">
      <c r="A2" s="16" t="inlineStr">
        <is>
          <t>전화 첫 멘트</t>
        </is>
      </c>
      <c r="B2" s="17" t="inlineStr">
        <is>
          <t>안녕하세요, 올투게더나우 대표 ○○○입니다. 저희는 중국 현지 제조 파트너와 함께 굿즈·판촉물·패키지·생활용품·봉제·전자소품 등 품목 가리지 않고 공장 발굴부터 샘플, 생산, 검수, 국내 입고까지 한 번에 진행하는 회사입니다. 저희 자체 제품도 같은 방식으로 중국에서 만들어 네이버·쿠팡에서 팔고 있어서 품질·납기 관리는 직접 겪어본 경험이 있습니다. 귀사에서 중국 생산이 들어가는 건이 있으면 견적 비교부터 도와드리고 싶은데, 구매 담당 부서로 연결 가능할까요?</t>
        </is>
      </c>
    </row>
    <row r="3">
      <c r="A3" s="16" t="inlineStr">
        <is>
          <t>핵심 차별점</t>
        </is>
      </c>
      <c r="B3" s="17" t="inlineStr">
        <is>
          <t>1) 단순 구매대행이 아니라 중국 현지 제조 파트너가 직접 공장을 찾고 생산을 관리. 2) 품목 제한 없음: 인쇄물·잡화·봉제·사출·금속·패키지·전자소품까지 공장 네트워크로 대응. 3) 저희도 자체 제품을 중국에서 만들어 파는 회사라 사고 유형(불량, 납기, 인증)을 알고 미리 막음. 4) 수출입 사업자로 세금계산서 발행, 통관, KC 인증 안내까지 국내에서 처리.</t>
        </is>
      </c>
    </row>
    <row r="4">
      <c r="A4" s="16" t="inlineStr">
        <is>
          <t>이메일 제목</t>
        </is>
      </c>
      <c r="B4" s="17" t="inlineStr">
        <is>
          <t>[제안] 중국 OEM 생산 원스톱 대행 (공장 발굴~검수~국내 납품, 품목 무관) - 올투게더나우</t>
        </is>
      </c>
    </row>
    <row r="5">
      <c r="A5" s="16" t="inlineStr">
        <is>
          <t>이메일 본문</t>
        </is>
      </c>
      <c r="B5" s="17" t="inlineStr">
        <is>
          <t>안녕하세요, 올투게더나우 대표 ○○○입니다.
저희는 중국 현지 제조 파트너와 함께, 품목에 상관없이 중국 생산이 필요한 제품을 아래 과정으로 원스톱 진행해 드립니다.
1. 제품·사양·수량·예산만 알려주시면 중국 현지 파트너가 제조공장을 발굴
2. 샘플 제작 및 국내 발송
3. 가격 협상 및 견적서 제출
4. 생산 진행 및 출하 전 검수 (사진·영상 보고)
5. 통관 후 국내 지정 장소 납품, 세금계산서 발행
대응 품목: 판촉물·굿즈(인쇄, 아크릴, 금속, 봉제, 사출), 패키지(박스·쇼핑백·파우치), 생활용품·주방용품, 스포츠·헬스용품, 전자소품(보조배터리·케이블 등) 외 다수.
저희 자체 브랜드 제품도 같은 방식으로 중국에서 생산해 네이버·쿠팡에서 판매 중이라, 품질·납기 관리는 직접 겪어본 노하우로 진행합니다.
진행 중인 건 하나로 견적 비교부터 해보셔도 좋습니다. 연락 주시면 바로 찾아뵙고 설명드리겠습니다.
올투게더나우 대표 ○○○ / 전화 000-0000-0000 / 이메일 ○○○@○○○</t>
        </is>
      </c>
    </row>
    <row r="6">
      <c r="A6" s="16" t="inlineStr">
        <is>
          <t>예상 질문 1</t>
        </is>
      </c>
      <c r="B6" s="17" t="inlineStr">
        <is>
          <t>Q. 이미 거래하는 중국 공장이 있는데요? → A. 그러면 견적 비교용으로만 한 건 받아보세요. 같은 사양으로 저희 견적이 더 낮거나 납기가 빠르면 그때 바꾸시면 됩니다.</t>
        </is>
      </c>
    </row>
    <row r="7">
      <c r="A7" s="16" t="inlineStr">
        <is>
          <t>예상 질문 2</t>
        </is>
      </c>
      <c r="B7" s="17" t="inlineStr">
        <is>
          <t>Q. 소량도 되나요? → A. 품목별로 다르지만 300~500개부터 가능한 공장을 찾아드립니다. 우선 사양 주시면 MOQ부터 확인해 드릴게요.</t>
        </is>
      </c>
    </row>
    <row r="8">
      <c r="A8" s="16" t="inlineStr">
        <is>
          <t>예상 질문 3</t>
        </is>
      </c>
      <c r="B8" s="17" t="inlineStr">
        <is>
          <t>Q. 불량 나면 어떻게 하나요? → A. 출하 전 검수 사진·영상을 보내드리고, 검수 통과 후에만 출고합니다. 계약서에 불량 시 재생산 조건을 명시합니다.</t>
        </is>
      </c>
    </row>
    <row r="9">
      <c r="A9" s="16" t="inlineStr">
        <is>
          <t>예상 질문 4</t>
        </is>
      </c>
      <c r="B9" s="17" t="inlineStr">
        <is>
          <t>Q. 무슨 품목까지 되나요? → A. 저희가 하는 건 특정 제품이 아니라 '공장을 찾아 생산을 관리하는 일'이라 품목 제한이 없습니다. 지금 진행 중인 품목 말씀해 주시면 그 공장부터 찾아드립니다.</t>
        </is>
      </c>
    </row>
    <row r="10">
      <c r="A10" s="16" t="inlineStr">
        <is>
          <t>회수 대상 멘트</t>
        </is>
      </c>
      <c r="B10" s="17" t="inlineStr">
        <is>
          <t>안녕하세요, 올투게더나우 ○○○ 대표입니다. 그동안 함석민 님을 통해 진행하셨던 중국 생산 건(예: 클립펜·온습도계, 캐릭터 굿즈, 패키지 박스)은 실제로는 저희 중국 파트너 리자위 공장에서 만들어졌습니다. 현재 함석민 님과는 거래가 정리되어, 앞으로는 저희가 한국 창구를 맡아 같은 공장·같은 품질로 직접 진행해 드립니다. 중간 단계가 하나 빠지는 만큼 단가와 소통 속도 모두 유리합니다. 진행 중이거나 예정된 건 있으시면 바로 견적 드리겠습니다.</t>
        </is>
      </c>
    </row>
    <row r="11">
      <c r="A11" s="16" t="inlineStr">
        <is>
          <t>회수 대상 주의</t>
        </is>
      </c>
      <c r="B11" s="17" t="inlineStr">
        <is>
          <t>1) 前 파트너 험담은 하지 말고 '거래가 정리됐다'까지만. 2) 상대가 함석민과 계속 거래 중일 수 있으니 첫 통화는 탐색 위주로. 3) 과거 생산 사진·샘플을 리자위에게 미리 받아두면 '같은 공장' 증명이 바로 됩니다. 4) 개인 휴대폰보다 회사 번호·메일로 먼저 연락.</t>
        </is>
      </c>
    </row>
    <row r="12">
      <c r="A12" s="16" t="inlineStr">
        <is>
          <t>후속 조치</t>
        </is>
      </c>
      <c r="B12" s="17" t="inlineStr">
        <is>
          <t>통화 후 24시간 안에 이메일로 회사소개(중국 공장 사진, 생산 사례 사진, 자사 제품 판매 페이지) + 견적 요청 양식(품목/사양/수량/희망단가/납기) 발송. 1주 뒤 재연락.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2026-09-09T14:31:41Z</dcterms:created>
  <dcterms:modified xsi:type="dcterms:W3CDTF">2026-09-09T14:31:41Z</dcterms:modified>
</cp:coreProperties>
</file>